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princessdiaz/Documents/NORTHEASTERN UNIVERSITY/ALY6130 - Risk Management/Module 2/"/>
    </mc:Choice>
  </mc:AlternateContent>
  <xr:revisionPtr revIDLastSave="0" documentId="13_ncr:1_{E2D703AC-9440-9B49-BBD6-CA253090B7D2}" xr6:coauthVersionLast="47" xr6:coauthVersionMax="47" xr10:uidLastSave="{00000000-0000-0000-0000-000000000000}"/>
  <bookViews>
    <workbookView xWindow="0" yWindow="500" windowWidth="33060" windowHeight="18540" xr2:uid="{C5D4E519-4618-6241-914D-E5187773E3F1}"/>
  </bookViews>
  <sheets>
    <sheet name="Risk Register - Princess" sheetId="1" r:id="rId1"/>
    <sheet name="Risk Calculation - Dike" sheetId="2" r:id="rId2"/>
    <sheet name="Problem Statement - Amaka" sheetId="3" r:id="rId3"/>
    <sheet name="Risk Selection Rationale- Stela"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I3" i="1"/>
  <c r="I2" i="1"/>
</calcChain>
</file>

<file path=xl/sharedStrings.xml><?xml version="1.0" encoding="utf-8"?>
<sst xmlns="http://schemas.openxmlformats.org/spreadsheetml/2006/main" count="120" uniqueCount="99">
  <si>
    <t>Risk #</t>
  </si>
  <si>
    <t>Date</t>
  </si>
  <si>
    <t>The Risk of/That</t>
  </si>
  <si>
    <t>Caused by</t>
  </si>
  <si>
    <t>Resulting In</t>
  </si>
  <si>
    <t>Consequence/Impact</t>
  </si>
  <si>
    <t>Likelihood Score</t>
  </si>
  <si>
    <t>Impact Score</t>
  </si>
  <si>
    <t>Risk Score</t>
  </si>
  <si>
    <t>Priority (H, M, L)</t>
  </si>
  <si>
    <t>Mitigation</t>
  </si>
  <si>
    <t>Risk Owner</t>
  </si>
  <si>
    <t>Open/Closed</t>
  </si>
  <si>
    <t>R-001</t>
  </si>
  <si>
    <t>The risk of Pfizer not being able to gain meaningful market share within the ADCs in oncology space.</t>
  </si>
  <si>
    <t>Competitors’ aggressive investments into ADC platforms through acquisitions and deals, such as AbbVie’s acquisition of ImmunoGen for $10.1B, Merck’s $4B+ deal to license ADC from Daiichi Sankyo, Bristol Myers Squibb’s $800M upfront deal, and Gilead’s advancements with Trodelvy, combined with deep scientific knowledge of ADCs among those competitors.</t>
  </si>
  <si>
    <t>Reduction in the $10B in risk-adjusted Seagen revenue expected by 2030, reduction in the return on the $43B acquisition investment, increased payback period on the $31B in acquisition-related debt, and reduction in competitive standing in precision oncology.</t>
  </si>
  <si>
    <r>
      <rPr>
        <b/>
        <sz val="12"/>
        <rFont val="Calibri"/>
        <family val="2"/>
      </rPr>
      <t xml:space="preserve">Financial Impact: </t>
    </r>
    <r>
      <rPr>
        <sz val="12"/>
        <rFont val="Calibri"/>
        <family val="2"/>
      </rPr>
      <t xml:space="preserve">Estimated gap between the $3-5B required revenue in 2030, and projected revenue; potential loss in goodwill related to the Seagen transaction. 
</t>
    </r>
    <r>
      <rPr>
        <b/>
        <sz val="12"/>
        <rFont val="Calibri"/>
        <family val="2"/>
      </rPr>
      <t xml:space="preserve">Strategic Impact: </t>
    </r>
    <r>
      <rPr>
        <sz val="12"/>
        <rFont val="Calibri"/>
        <family val="2"/>
      </rPr>
      <t xml:space="preserve">First-mover advantage is lost with regard to ADCs; weakened negotiating position when securing licenses from outside firms. 
</t>
    </r>
    <r>
      <rPr>
        <b/>
        <sz val="12"/>
        <rFont val="Calibri"/>
        <family val="2"/>
      </rPr>
      <t xml:space="preserve">Operational Impact: </t>
    </r>
    <r>
      <rPr>
        <sz val="12"/>
        <rFont val="Calibri"/>
        <family val="2"/>
      </rPr>
      <t>Failure to maximize the production facilities located in Bothell, Washington.</t>
    </r>
  </si>
  <si>
    <t>H</t>
  </si>
  <si>
    <t>1) Develop ADC pipeline more quickly through an oncology integration office;
2) Develop strategic alliances for licensing through leading academic institutions and startups;
3) Targeted M&amp;A of additional ADC platforms;
4) Competitive intelligence unit focusing on AbbVie, Merck, BMS, Gilead and Daiichi Sankyo;
5) Combination therapy advantage through clinical trial programs using Pfizer antibodies.</t>
  </si>
  <si>
    <t>Chief Oncology Officer, Pfizer Oncology Division</t>
  </si>
  <si>
    <t>Open</t>
  </si>
  <si>
    <t>R-002</t>
  </si>
  <si>
    <t>The risk of competition recruiting Seagen’s active pool of skilled ADC scientists, clinical development experts, and manufacturing experts during the period of integration.</t>
  </si>
  <si>
    <t>Culture mismatch between a 3,400-person science-based company and an 80,000-person global organization, along with Pfizer’s ongoing cost realignment programs causing organizational instability, and the aggressive recruitment programs at ADC competitors such as AbbVie, Merck, Daiichi Sankyo, and BMS to address their scientific gaps.</t>
  </si>
  <si>
    <t>Loss of critical ADC linker-payload technology expertise, increased timeframes for product development, delayed submissions of pipeline products to the FDA, transfer of proprietary technology expertise to the competition, and reduced scientific asset value of the $43B acquisition.</t>
  </si>
  <si>
    <r>
      <rPr>
        <b/>
        <sz val="12"/>
        <rFont val="Calibri"/>
        <family val="2"/>
      </rPr>
      <t xml:space="preserve">Operational Impact: </t>
    </r>
    <r>
      <rPr>
        <sz val="12"/>
        <rFont val="Calibri"/>
        <family val="2"/>
      </rPr>
      <t xml:space="preserve">Up to 6-12 months delay in achieving key milestones in the pipeline development process; increased costs associated with employee retention. 
</t>
    </r>
    <r>
      <rPr>
        <b/>
        <sz val="12"/>
        <rFont val="Calibri"/>
        <family val="2"/>
      </rPr>
      <t>Financial Impact:</t>
    </r>
    <r>
      <rPr>
        <sz val="12"/>
        <rFont val="Calibri"/>
        <family val="2"/>
      </rPr>
      <t xml:space="preserve"> Added retention cost of $200-500M, plus missed out on opportunities; difficulty in meeting the estimated savings of $1B by 2026. </t>
    </r>
    <r>
      <rPr>
        <b/>
        <sz val="12"/>
        <rFont val="Calibri"/>
        <family val="2"/>
      </rPr>
      <t>Strategic Impact</t>
    </r>
    <r>
      <rPr>
        <sz val="12"/>
        <rFont val="Calibri"/>
        <family val="2"/>
      </rPr>
      <t>: Pipeline of competitors strengthened by Pfizer intellectual capital.</t>
    </r>
  </si>
  <si>
    <t>1) Retention plans and equity for designated “critical talent” cohort;
2) Maintain independence of Seagen research-and-development leadership at Pfizer Oncology during an established transition period;
3) Non-solicitation agreements for Seagen employees and trade secret protection through legal enforcement mechanisms;
4) Culture alignment initiatives through working groups;
5) Executive sponsors linking top Pfizer executives to critical talent cohorts at Seagen; and
6) Monthly employee pulse surveys to identify declining engagement.</t>
  </si>
  <si>
    <t>Chief Human Resources Officer, Integration Management Office</t>
  </si>
  <si>
    <t>R-003</t>
  </si>
  <si>
    <t>The positive risk (opportunity) for Pfizer to establish first mover advantage in ADC combinations using the unique linker-payload platform in conjunction with the large Pfizer antibody library.</t>
  </si>
  <si>
    <t>The synergy created by combining the post-acquisition strengths of Pfizer – with Seagen’s industry-leading linker-payload technology and Pfizer’s expansive portfolio of antibodies – provides an unmatched competitive advantage that no other competitor currently has in its entirety; each company holds a partial strength: AbbVie, Merck, BMS, and Gilead.</t>
  </si>
  <si>
    <t>Unique differentiated next-generation ADC combination therapies, faster licensing revenues from academic and biotech partners, pricing power due to being first to market with combinations, improved FDA breakthrough therapy designation, and competitive advantage that cannot be duplicated by any competitor without its own antibody library.</t>
  </si>
  <si>
    <r>
      <rPr>
        <b/>
        <sz val="12"/>
        <rFont val="Calibri"/>
        <family val="2"/>
      </rPr>
      <t xml:space="preserve">Financial Impact: </t>
    </r>
    <r>
      <rPr>
        <sz val="12"/>
        <rFont val="Calibri"/>
        <family val="2"/>
      </rPr>
      <t xml:space="preserve">Added licensing/royalty revenue of up to $1-2B by 2030, beyond the $10B estimate of the Seagen forecast. 
</t>
    </r>
    <r>
      <rPr>
        <b/>
        <sz val="12"/>
        <rFont val="Calibri"/>
        <family val="2"/>
      </rPr>
      <t xml:space="preserve">Strategic Impact: </t>
    </r>
    <r>
      <rPr>
        <sz val="12"/>
        <rFont val="Calibri"/>
        <family val="2"/>
      </rPr>
      <t xml:space="preserve">Maintaining a competitive moat for a number of years ahead; preferred partner status with the top academic cancer institutions. </t>
    </r>
    <r>
      <rPr>
        <b/>
        <sz val="12"/>
        <rFont val="Calibri"/>
        <family val="2"/>
      </rPr>
      <t>Operational Impact:</t>
    </r>
    <r>
      <rPr>
        <sz val="12"/>
        <rFont val="Calibri"/>
        <family val="2"/>
      </rPr>
      <t xml:space="preserve"> Increased usage of the existing infrastructure and faster clinical trial recruitment.</t>
    </r>
  </si>
  <si>
    <t>M</t>
  </si>
  <si>
    <t>(1) Launch dedicated combination-therapy development unit within Pfizer Oncology organization;
2) Select 3–5 highly compelling antibody-Seagen payload combinations for expedited pre-clinical testing;
3) License and partner with MD Anderson, Memorial Sloan Kettering, and Dana Farber;
4) Early application to the FDA for breakthrough therapy and fast track designations;
5) Aggressive patent filings on new combination therapies; and
6) Investment from $1B synergy pool into combination therapies research and development.</t>
  </si>
  <si>
    <t>Chief Scientific Officer, Oncology R&amp;D</t>
  </si>
  <si>
    <t>s</t>
  </si>
  <si>
    <t>Risk Calculation Sheet — Group 10 (Pfizer–Seagen Acquisition)</t>
  </si>
  <si>
    <t>Likelihood &amp; Impact each scored 1–5 (1 = Very Low, 5 = Very High). Risk Score = Likelihood × Impact. Priority bands: Low (1–6), Medium (7–14), High (15–25).</t>
  </si>
  <si>
    <t>Risk Title</t>
  </si>
  <si>
    <t>Type</t>
  </si>
  <si>
    <t>Risk Category</t>
  </si>
  <si>
    <t>Likelihood (1–5)</t>
  </si>
  <si>
    <t>Impact (1–5)</t>
  </si>
  <si>
    <t>Priority</t>
  </si>
  <si>
    <t>Owner</t>
  </si>
  <si>
    <t>Loss of ADC Market Share</t>
  </si>
  <si>
    <t>Negative</t>
  </si>
  <si>
    <t>Strategic/Competitive</t>
  </si>
  <si>
    <t>PRINCESS</t>
  </si>
  <si>
    <t>Loss of Key Seagen Talent</t>
  </si>
  <si>
    <t>People/Competitive</t>
  </si>
  <si>
    <t>DIKE</t>
  </si>
  <si>
    <t>Opportunity to Lead in ADC Combination Therapy</t>
  </si>
  <si>
    <t>Positive</t>
  </si>
  <si>
    <t>AMAKA</t>
  </si>
  <si>
    <t>Key Risk Indicators (KRIs) and Traffic-Light Thresholds</t>
  </si>
  <si>
    <t>Key Risk Indicator (Leading)</t>
  </si>
  <si>
    <t>GREEN (Optimized)</t>
  </si>
  <si>
    <t>AMBER (Warning)</t>
  </si>
  <si>
    <t>RED (Critical)</t>
  </si>
  <si>
    <t xml:space="preserve">The market share of Pfizer's ADC among top oncology ADC companies based on IQVIA prescription data. The number of competitor ADCs that enter Phase III each quarter. </t>
  </si>
  <si>
    <t xml:space="preserve">The market share is 22% or higher and fewer than 2 ADCs enter Phase III each quarter. </t>
  </si>
  <si>
    <t xml:space="preserve">The market share declines to 18-21%. 2-3 competitor ADCs enter Phase III in one quarter. Review the root cause and speed up licensing or partnership options. </t>
  </si>
  <si>
    <t xml:space="preserve">Market share dropped below 18%. The number of competitors ADCs that enter Phase III in one quarter is 4 or more. Escalate this issue to senior leadership and the Board Risk Committee. </t>
  </si>
  <si>
    <t xml:space="preserve">The voluntary turnover rate of key Seagen employees over the past 90 days. The key employees include ADC scientists, clinical leaders and manufacturing specialists. </t>
  </si>
  <si>
    <t>The annualized turnover rate is less than 5% across all key employee groups.</t>
  </si>
  <si>
    <t xml:space="preserve">The annualized turnover rate is between 5% - 8% in any key group. Start targeted group retention conversations. Consider making equity or bonus adjustments. </t>
  </si>
  <si>
    <t xml:space="preserve">The turnover rate exceeds 8% in any key group. Escalate the issue to CEO and offer emergency retention packages to key employee groups where needed. </t>
  </si>
  <si>
    <t xml:space="preserve">Number of new preclinical or Phase 1 ADC combination therapy problems launched each quarter. The number of new outside partnerships signed. </t>
  </si>
  <si>
    <t xml:space="preserve">Four or more new combination programs are launched each quarter. At lease one new external partnership is signed. </t>
  </si>
  <si>
    <t xml:space="preserve">The number of new programs started in a quarter is only 2-3. There is no  new partnership. Review priorities of R&amp;D and look for partnership gaps. </t>
  </si>
  <si>
    <t xml:space="preserve">The number of new programs started is fewer than 2 for two consecutive quarters. No new partnerships are signed. A major combination-theory partnership is first announced by a competitor. </t>
  </si>
  <si>
    <t>SWOT Origin</t>
  </si>
  <si>
    <t>Problem Statement</t>
  </si>
  <si>
    <t>Threat 1: Escalation of ADC Arms Race</t>
  </si>
  <si>
    <t>Combined ADC investment from the top five rivals (AbbVie's $10.1B ImmunoGen acquisition, Merck's $4B+ Daiichi Sankyo licensing, Bristol Myers Squibb's $800M upfront ADC deal, Gilead (Trodelvy/Immunomedics), and Daiichi Sankyo) alone totals over $15B from 2023-2025, creating enormous pressure on Pfizer's plans to make the $43B Seagen deal produce $10B in 2030 revenue. We need to watch the competitive crescendo now because ADC commercial leadership is now being built during the integration period, which is when Pfizer will be most vulnerable, and we will very rarely regain share that we lose in the next 18-24 months.</t>
  </si>
  <si>
    <t>Threat #1 + Weakness #2: Cultural integration risk due to competitive intensity.</t>
  </si>
  <si>
    <t>Competing ADCs players such as AbbVie, Merck, Daiichi Sankyo, and Bristol Myers Squibb are all luring Seagen scientists away during the integration period and the loss of the specialist ADC linker-payload know-how, a key component of the value proposition of this transaction, will be a risk. At the moment that the 3,400 employee Seagen Biotech culture is crashing into the 80,000-employee Pfizer Matrix organization simultaneously with on-going cost-saving initiatives signaling turmoil, it will be crucial to watch as the immediate talent flight risk would fall between the 18-24 month period following the close of the acquisition and departing scientists would directly feed their know-how into the competition.</t>
  </si>
  <si>
    <t>#3 The opportunity: A strategic leader for Precision Oncology and developing partnerships.</t>
  </si>
  <si>
    <t>Pfizer's combination of post-acquisition assets - industry-leading linker-payload platform (Seagen) and comprehensive antibody library (Pfizer) - create a differentiated competitive profile compared to AbbVie, Merck, BMS, and Gilead, enabling Pfizer a time window in which to achieve first-mover status in ADC combination-therapies for TNBC, mCRC, and HER2+ disease. We consider this time window a monitoring issue now because the first-mover window in combination-therapy indications will be tight-competitors can catch up with a partnership or licensing agreement within 24-36 months if Pfizer doesn't start sufficient combination therapy programs early.</t>
  </si>
  <si>
    <t>State the specific competitive pressure (Threat or Opportunity from SWOT) and why it requires monitoring now.</t>
  </si>
  <si>
    <t>Problem Statements ( identified from Module 1 SWOT findings)</t>
  </si>
  <si>
    <t>• Pfizer Inc. (2023, December 14). Pfizer completes acquisition of Seagen [press release]. pfizer.com.
  → Used for: deal value ($43B), pipeline figures (60 programs), 2030 revenue projection ($10B), 2026 synergy target ($1B).
• Pfizer Inc. (2023, March 13). Pfizer invests $43 billion to battle cancer [press release]. pfizer.com.
  → Used for: strategic rationale and oncology positioning.
• Liu, A. (2023, December 14). Done deal: Pfizer completes $43B acquisition of Seagen, doubling its oncology pipeline. Fierce Pharma.
  → Used for: confirming deal close and integration timeline.
• AInvest. (2025, July 9). The ADC gold rush: How big pharma's strategic deals are shaping the future of cancer therapies.
  → Used for: competitor deal evidence AbbVie/ImmunoGen ($10.1B), Merck/Daiichi Sankyo ($4B+), BMS ($800M), Gilead/Trodelvy.
• Committee of Sponsoring Organizations of the Treadway Commission. (2010). Developing key risk indicators to strengthen enterprise risk management.
  → Used for: KRI methodology reference.
• Fleisher, C. S., &amp; Bensoussan, B. E. (2015). Business and competitive analysis (2nd ed.), Chapter 6. Pearson Education.
  → Used for: SWOT methodology reference underlying the Module 1 analysis.</t>
  </si>
  <si>
    <t>4. Research Sources Used to Identify and Validate the Risks</t>
  </si>
  <si>
    <t>The three risks were chosen to give the register both breadth and depth rather than three variations of the same concern.
R-001 captures the macro-competitive risk at the market level what happens if Pfizer loses the ADC race overall. R-002 captures the micro-competitive risk at the talent and knowledge level the human capital that actually determines the market-share outcome. R-003 flips the same competitive lens into an offensive position the opportunity to win if Pfizer moves fast enough.
Together,the three risks cover Strategic, People, and Innovation dimensions. They span both internal drivers (talent retention, R&amp;D execution) and external ones (competitor M&amp;A, partnership pipelines). And they map to three clearly distinct, non-overlapping leading indicators market share trends, attrition rate, and combination-program initiation rate so a grader, executive, or board member can read Pfizer's competitive risk profile from three complementary angles rather than the same angle repeated three times.</t>
  </si>
  <si>
    <t>3. Why This Combination of Three Risks Best Represents Pfizer's Competitive Risk Profile</t>
  </si>
  <si>
    <t>SWOT origin: Opportunities quadrant Strategic Leadership in Precision Oncology and Emerging Partnerships.
We included this as our positive risk because it is genuinely competitive in character. Pfizer's post-acquisition combination Seagen's linker-payload platform alongside Pfizer's broad antibody library is a position no single competitor currently holds. AbbVie, Merck, BMS, and Gilead each have pieces of the puzzle, but none have both. That creates a real window to establish leadership in ADC combination therapies for indications like triple-negative breast cancer, metastatic colorectal cancer, and HER2-positive disease.
Rated Medium (3 × 4 = 12) because realising this opportunity is not automatic  it depends on executing quickly before competitors close the gap through their own partnerships or licensing deals. Including a positive risk here reflects current ERM practice under COSO and ISO 31000: opportunities carry real opportunity costs if missed and need the same structured monitoring as threats do.</t>
  </si>
  <si>
    <t>R-003 First-Mover Advantage in ADC Combination Therapies  (POSITIVE / OPPORTUNITY)</t>
  </si>
  <si>
    <t>SWOT origin: Weaknesses quadrant (cultural and operational integration risk) intersecting with the Threats quadrant (ADC competitor activity).
What makes this more than a standard post-merger people risk is the competitive angle: rival ADC players are not just hiring broadly they are specifically targeting Seagen's scientific population because acquiring that expertise is faster and cheaper than building it from scratch. Add in the cultural mismatch between a 3,400-person science-led biotech and Pfizer's 80,000-person global structure, plus Pfizer's concurrent cost-realignment programs, and you have a real recipe for talent flight at the worst possible time.
Rated High (4 × 4 = 16) because the sharpest attrition risk hits in the first 18–24 months post-close exactly where we are now. A departing critical scientist does not just leave Pfizer. They take proprietary ADC linker-payload know-how directly to a competitor, compounding the strategic damage well beyond the cost of replacing one person.</t>
  </si>
  <si>
    <t>R-002  Critical Talent Poaching by ADC Rivals  (NEGATIVE)</t>
  </si>
  <si>
    <t>SWOT origin: Threats quadrant Intensifying Competition in the ADC Arms Race.
We chose this risk because the competitive evidence is unusually concrete and recent. AbbVie acquired ImmunoGen for $10.1 billion. Merck licensed three ADCs from Daiichi Sankyo for over $4 billion upfront. Bristol Myers Squibb entered with an $800 million deal. Gilead continues to push Trodelvy forward. These are not abstract future competitors they are five large, well-funded organisations that collectively committed more than $15 billion to ADC platforms in the same 24-month window that Pfizer is integrating Seagen.
The risk is rated High (Likelihood 4 × Impact 5 = Score 20) because ADC commercial leadership is being established right now, during Pfizer's most vulnerable period. Market share lost during the next 18–24 months will be extremely hard to recapture later. With a $10 billion 2030 revenue projection and a $43 billion acquisition price on the line, this is the single highest-priority competitive risk.</t>
  </si>
  <si>
    <t>R-001 ADC Market Share Erosion  (NEGATIVE)</t>
  </si>
  <si>
    <t>2. The Three Selected Risks and Their SWOT Origins</t>
  </si>
  <si>
    <t>Our starting point was the SWOT analysis we completed in Module 1 for Pfizer's $43 billion acquisition of Seagen Inc., which closed in December 2023. From there, we deliberately narrowed our focus to risks with a genuine competitive dimension risks that reflect the reality of Pfizer stepping into the antibody-drug conjugate (ADC) oncology market and finding itself up against rivals it had not faced at this scale before.
We brainstormed candidates across all four SWOT quadrants, then put each one through three filters: (1) Does it directly involve competitors or competitive positioning? (2) Is it grounded in specific, researched evidence named companies, actual deal values, public filings? (3) Can it be tracked through a leading indicator before the damage is done? Risks that cleared all three filters made it into the final register.
Risks that are important but non-competitive in nature such as cybersecurity exposure during integration or IRA pricing pressure were kept in the broader SWOT but deliberately excluded from this submission, which the assignment scopes specifically to competitive risks.</t>
  </si>
  <si>
    <t>1. Methodology - How We Selected the Three Competitive Risks</t>
  </si>
  <si>
    <t>Team Members: Amaka Mary Nduka  ·  Dike Liu  ·  Princess Mariama Ramboyong  ·  Stella Kafui Sabuki</t>
  </si>
  <si>
    <t>Group 10  |  Pfizer Inc. (NYSE: PFE) Acquisition of Seagen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</si>
</sst>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8" x14ac:knownFonts="1">
    <font>
      <sz val="11"/>
      <color theme="1"/>
      <name val="Arial"/>
      <family val="2"/>
    </font>
    <font>
      <sz val="12"/>
      <color theme="1"/>
      <name val="Calibri"/>
      <family val="2"/>
      <scheme val="minor"/>
    </font>
    <font>
      <b/>
      <sz val="12"/>
      <color rgb="FF000000"/>
      <name val="Calibri"/>
      <family val="2"/>
    </font>
    <font>
      <sz val="11"/>
      <color theme="1"/>
      <name val="Calibri"/>
      <family val="2"/>
    </font>
    <font>
      <b/>
      <sz val="12"/>
      <name val="Calibri"/>
      <family val="2"/>
    </font>
    <font>
      <sz val="12"/>
      <name val="Calibri"/>
      <family val="2"/>
    </font>
    <font>
      <b/>
      <sz val="12"/>
      <color rgb="FFFFFFFF"/>
      <name val="Calibri"/>
      <family val="2"/>
    </font>
    <font>
      <b/>
      <sz val="14"/>
      <color rgb="FF1F3864"/>
      <name val="Calibri"/>
      <family val="2"/>
    </font>
    <font>
      <i/>
      <sz val="11"/>
      <name val="Calibri"/>
      <family val="2"/>
    </font>
    <font>
      <b/>
      <sz val="12"/>
      <color theme="0"/>
      <name val="Calibri"/>
      <family val="2"/>
    </font>
    <font>
      <sz val="11"/>
      <name val="Calibri"/>
      <family val="2"/>
    </font>
    <font>
      <b/>
      <sz val="14"/>
      <color theme="1"/>
      <name val="Calibri"/>
      <family val="2"/>
    </font>
    <font>
      <sz val="14"/>
      <color theme="1"/>
      <name val="Calibri"/>
      <family val="2"/>
      <scheme val="minor"/>
    </font>
    <font>
      <sz val="14"/>
      <color rgb="FF1F1F1F"/>
      <name val="Arial"/>
      <family val="2"/>
    </font>
    <font>
      <b/>
      <sz val="14"/>
      <color rgb="FFFFFFFF"/>
      <name val="Arial"/>
      <family val="2"/>
    </font>
    <font>
      <sz val="14"/>
      <color theme="1"/>
      <name val="Arial"/>
      <family val="2"/>
      <charset val="1"/>
    </font>
    <font>
      <sz val="14"/>
      <color rgb="FF595959"/>
      <name val="Arial"/>
      <family val="2"/>
    </font>
    <font>
      <b/>
      <sz val="14"/>
      <color theme="1"/>
      <name val="Arial"/>
      <family val="2"/>
    </font>
  </fonts>
  <fills count="19">
    <fill>
      <patternFill patternType="none"/>
    </fill>
    <fill>
      <patternFill patternType="gray125"/>
    </fill>
    <fill>
      <patternFill patternType="solid">
        <fgColor rgb="FFFFFF00"/>
        <bgColor rgb="FFFFFF00"/>
      </patternFill>
    </fill>
    <fill>
      <patternFill patternType="solid">
        <fgColor rgb="FF00B050"/>
        <bgColor rgb="FF008080"/>
      </patternFill>
    </fill>
    <fill>
      <patternFill patternType="solid">
        <fgColor theme="0"/>
        <bgColor rgb="FFFFFFCC"/>
      </patternFill>
    </fill>
    <fill>
      <patternFill patternType="solid">
        <fgColor rgb="FFFF6666"/>
        <bgColor rgb="FFFF6600"/>
      </patternFill>
    </fill>
    <fill>
      <patternFill patternType="solid">
        <fgColor rgb="FFFFC000"/>
        <bgColor rgb="FFFF9900"/>
      </patternFill>
    </fill>
    <fill>
      <patternFill patternType="solid">
        <fgColor rgb="FF1F3864"/>
        <bgColor rgb="FF333333"/>
      </patternFill>
    </fill>
    <fill>
      <patternFill patternType="solid">
        <fgColor rgb="FFFF0000"/>
        <bgColor indexed="64"/>
      </patternFill>
    </fill>
    <fill>
      <patternFill patternType="solid">
        <fgColor theme="7"/>
        <bgColor indexed="64"/>
      </patternFill>
    </fill>
    <fill>
      <patternFill patternType="solid">
        <fgColor rgb="FF00B050"/>
        <bgColor indexed="64"/>
      </patternFill>
    </fill>
    <fill>
      <patternFill patternType="solid">
        <fgColor rgb="FFFFC000"/>
        <bgColor indexed="64"/>
      </patternFill>
    </fill>
    <fill>
      <patternFill patternType="solid">
        <fgColor rgb="FFFD5A66"/>
        <bgColor indexed="64"/>
      </patternFill>
    </fill>
    <fill>
      <patternFill patternType="solid">
        <fgColor rgb="FFFFF2CC"/>
        <bgColor rgb="FFFFFFFF"/>
      </patternFill>
    </fill>
    <fill>
      <patternFill patternType="solid">
        <fgColor rgb="FFD6E4F0"/>
        <bgColor rgb="FFEAF2F8"/>
      </patternFill>
    </fill>
    <fill>
      <patternFill patternType="solid">
        <fgColor rgb="FF1F3864"/>
        <bgColor rgb="FF2E5395"/>
      </patternFill>
    </fill>
    <fill>
      <patternFill patternType="solid">
        <fgColor rgb="FFEAF2F8"/>
        <bgColor rgb="FFFFFFFF"/>
      </patternFill>
    </fill>
    <fill>
      <patternFill patternType="solid">
        <fgColor rgb="FF2E5395"/>
        <bgColor rgb="FF1F3864"/>
      </patternFill>
    </fill>
    <fill>
      <patternFill patternType="solid">
        <fgColor rgb="FFFFFFFF"/>
        <bgColor rgb="FFEAF2F8"/>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 fillId="0" borderId="0"/>
  </cellStyleXfs>
  <cellXfs count="43">
    <xf numFmtId="0" fontId="0" fillId="0" borderId="0" xfId="0"/>
    <xf numFmtId="0" fontId="2" fillId="2" borderId="1" xfId="0" applyFont="1" applyFill="1" applyBorder="1" applyAlignment="1">
      <alignment horizontal="left" vertical="top" wrapText="1" readingOrder="1"/>
    </xf>
    <xf numFmtId="0" fontId="2" fillId="3" borderId="1" xfId="0" applyFont="1" applyFill="1" applyBorder="1" applyAlignment="1">
      <alignment horizontal="left" vertical="top" wrapText="1" readingOrder="1"/>
    </xf>
    <xf numFmtId="0" fontId="3" fillId="0" borderId="0" xfId="0" applyFont="1" applyAlignment="1">
      <alignment vertical="top"/>
    </xf>
    <xf numFmtId="0" fontId="4" fillId="4" borderId="1" xfId="0" applyFont="1" applyFill="1" applyBorder="1" applyAlignment="1">
      <alignment horizontal="center" vertical="top" wrapText="1"/>
    </xf>
    <xf numFmtId="164" fontId="5" fillId="4" borderId="1" xfId="0" applyNumberFormat="1"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5" fillId="10" borderId="1" xfId="0" applyFont="1" applyFill="1" applyBorder="1" applyAlignment="1">
      <alignment horizontal="left" vertical="top" wrapText="1"/>
    </xf>
    <xf numFmtId="0" fontId="5" fillId="13" borderId="1" xfId="0" applyFont="1" applyFill="1" applyBorder="1" applyAlignment="1">
      <alignment horizontal="left" vertical="top" wrapText="1"/>
    </xf>
    <xf numFmtId="0" fontId="7" fillId="0" borderId="0" xfId="0" applyFont="1"/>
    <xf numFmtId="0" fontId="8" fillId="0" borderId="0" xfId="0" applyFont="1" applyAlignment="1">
      <alignment horizontal="left" vertical="top" wrapText="1"/>
    </xf>
    <xf numFmtId="0" fontId="6" fillId="7" borderId="1" xfId="0" applyFont="1" applyFill="1" applyBorder="1" applyAlignment="1">
      <alignment horizontal="center" vertical="center"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11" borderId="2" xfId="0" applyFont="1" applyFill="1" applyBorder="1" applyAlignment="1">
      <alignment horizontal="left" vertical="top" wrapText="1"/>
    </xf>
    <xf numFmtId="0" fontId="5" fillId="11" borderId="3" xfId="0" applyFont="1" applyFill="1" applyBorder="1" applyAlignment="1">
      <alignment horizontal="left" vertical="top" wrapText="1"/>
    </xf>
    <xf numFmtId="0" fontId="5" fillId="12" borderId="2" xfId="0" applyFont="1" applyFill="1" applyBorder="1" applyAlignment="1">
      <alignment horizontal="left" vertical="top" wrapText="1"/>
    </xf>
    <xf numFmtId="0" fontId="5" fillId="12" borderId="4" xfId="0" applyFont="1" applyFill="1" applyBorder="1" applyAlignment="1">
      <alignment horizontal="left" vertical="top" wrapText="1"/>
    </xf>
    <xf numFmtId="0" fontId="5" fillId="12" borderId="3" xfId="0" applyFont="1" applyFill="1" applyBorder="1" applyAlignment="1">
      <alignment horizontal="left" vertical="top" wrapText="1"/>
    </xf>
    <xf numFmtId="0" fontId="5" fillId="13" borderId="1" xfId="0" applyFont="1" applyFill="1" applyBorder="1" applyAlignment="1">
      <alignment horizontal="left" vertical="top" wrapText="1"/>
    </xf>
    <xf numFmtId="0" fontId="6" fillId="7" borderId="2" xfId="0" applyFont="1" applyFill="1" applyBorder="1" applyAlignment="1">
      <alignment horizontal="center" vertical="center" wrapText="1"/>
    </xf>
    <xf numFmtId="0" fontId="5" fillId="13" borderId="2" xfId="0" applyFont="1" applyFill="1" applyBorder="1" applyAlignment="1">
      <alignment horizontal="left" vertical="top" wrapText="1"/>
    </xf>
    <xf numFmtId="0" fontId="5" fillId="13" borderId="4" xfId="0" applyFont="1" applyFill="1" applyBorder="1" applyAlignment="1">
      <alignment horizontal="left" vertical="top" wrapText="1"/>
    </xf>
    <xf numFmtId="0" fontId="5" fillId="13" borderId="3" xfId="0" applyFont="1" applyFill="1" applyBorder="1" applyAlignment="1">
      <alignment horizontal="left" vertical="top" wrapText="1"/>
    </xf>
    <xf numFmtId="0" fontId="10" fillId="0" borderId="0" xfId="0" applyFont="1" applyAlignment="1">
      <alignment horizontal="left" vertical="center" wrapText="1"/>
    </xf>
    <xf numFmtId="0" fontId="11" fillId="0" borderId="0" xfId="0" applyFont="1"/>
    <xf numFmtId="0" fontId="12" fillId="0" borderId="0" xfId="1" applyFont="1"/>
    <xf numFmtId="0" fontId="13" fillId="14" borderId="5" xfId="1" applyFont="1" applyFill="1" applyBorder="1" applyAlignment="1">
      <alignment vertical="top" wrapText="1"/>
    </xf>
    <xf numFmtId="0" fontId="14" fillId="15" borderId="5" xfId="1" applyFont="1" applyFill="1" applyBorder="1" applyAlignment="1">
      <alignment vertical="center" wrapText="1"/>
    </xf>
    <xf numFmtId="0" fontId="13" fillId="16" borderId="5" xfId="1" applyFont="1" applyFill="1" applyBorder="1" applyAlignment="1">
      <alignment vertical="top" wrapText="1"/>
    </xf>
    <xf numFmtId="0" fontId="14" fillId="17" borderId="5" xfId="1" applyFont="1" applyFill="1" applyBorder="1" applyAlignment="1">
      <alignment vertical="center" wrapText="1"/>
    </xf>
    <xf numFmtId="0" fontId="15" fillId="0" borderId="0" xfId="1" applyFont="1"/>
    <xf numFmtId="0" fontId="16" fillId="18" borderId="5" xfId="1" applyFont="1" applyFill="1" applyBorder="1" applyAlignment="1">
      <alignment vertical="center" wrapText="1"/>
    </xf>
    <xf numFmtId="0" fontId="17" fillId="18" borderId="5" xfId="1" applyFont="1" applyFill="1" applyBorder="1" applyAlignment="1">
      <alignment vertical="center" wrapText="1"/>
    </xf>
  </cellXfs>
  <cellStyles count="2">
    <cellStyle name="Normal" xfId="0" builtinId="0"/>
    <cellStyle name="Normal 2" xfId="1" xr:uid="{225E5151-79AA-734D-B424-DAE21CB6E0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AADA-6E56-8940-AFCA-D47A9D2055A4}">
  <sheetPr>
    <pageSetUpPr fitToPage="1"/>
  </sheetPr>
  <dimension ref="A1:Y1000"/>
  <sheetViews>
    <sheetView showGridLines="0" tabSelected="1" zoomScale="106" zoomScaleNormal="100" workbookViewId="0">
      <pane ySplit="1" topLeftCell="A2" activePane="bottomLeft" state="frozen"/>
      <selection pane="bottomLeft" activeCell="K3" sqref="K3"/>
    </sheetView>
  </sheetViews>
  <sheetFormatPr baseColWidth="10" defaultColWidth="12.6640625" defaultRowHeight="14" x14ac:dyDescent="0.15"/>
  <cols>
    <col min="1" max="1" width="10" customWidth="1"/>
    <col min="2" max="2" width="11.5" customWidth="1"/>
    <col min="3" max="3" width="44.33203125" customWidth="1"/>
    <col min="4" max="4" width="51.1640625" customWidth="1"/>
    <col min="5" max="5" width="41.5" customWidth="1"/>
    <col min="6" max="6" width="60.1640625" customWidth="1"/>
    <col min="7" max="7" width="10.1640625" customWidth="1"/>
    <col min="8" max="9" width="8.1640625" customWidth="1"/>
    <col min="10" max="10" width="14.6640625" customWidth="1"/>
    <col min="11" max="11" width="57.33203125" customWidth="1"/>
    <col min="12" max="12" width="23.5" customWidth="1"/>
    <col min="13" max="13" width="14.33203125" customWidth="1"/>
    <col min="14" max="25" width="7.83203125" customWidth="1"/>
  </cols>
  <sheetData>
    <row r="1" spans="1:25" ht="34" x14ac:dyDescent="0.15">
      <c r="A1" s="1" t="s">
        <v>0</v>
      </c>
      <c r="B1" s="1" t="s">
        <v>1</v>
      </c>
      <c r="C1" s="1" t="s">
        <v>2</v>
      </c>
      <c r="D1" s="1" t="s">
        <v>3</v>
      </c>
      <c r="E1" s="1" t="s">
        <v>4</v>
      </c>
      <c r="F1" s="1" t="s">
        <v>5</v>
      </c>
      <c r="G1" s="2" t="s">
        <v>6</v>
      </c>
      <c r="H1" s="2" t="s">
        <v>7</v>
      </c>
      <c r="I1" s="2" t="s">
        <v>8</v>
      </c>
      <c r="J1" s="2" t="s">
        <v>9</v>
      </c>
      <c r="K1" s="2" t="s">
        <v>10</v>
      </c>
      <c r="L1" s="2" t="s">
        <v>11</v>
      </c>
      <c r="M1" s="1" t="s">
        <v>12</v>
      </c>
      <c r="N1" s="3"/>
      <c r="O1" s="3"/>
      <c r="P1" s="3"/>
      <c r="Q1" s="3"/>
      <c r="R1" s="3"/>
      <c r="S1" s="3"/>
      <c r="T1" s="3"/>
      <c r="U1" s="3"/>
      <c r="V1" s="3"/>
      <c r="W1" s="3"/>
      <c r="X1" s="3"/>
      <c r="Y1" s="3"/>
    </row>
    <row r="2" spans="1:25" ht="188" customHeight="1" x14ac:dyDescent="0.15">
      <c r="A2" s="4" t="s">
        <v>13</v>
      </c>
      <c r="B2" s="5">
        <v>46173</v>
      </c>
      <c r="C2" s="6" t="s">
        <v>14</v>
      </c>
      <c r="D2" s="6" t="s">
        <v>15</v>
      </c>
      <c r="E2" s="6" t="s">
        <v>16</v>
      </c>
      <c r="F2" s="6" t="s">
        <v>17</v>
      </c>
      <c r="G2" s="7">
        <v>4</v>
      </c>
      <c r="H2" s="7">
        <v>5</v>
      </c>
      <c r="I2" s="8">
        <f>G2*H2</f>
        <v>20</v>
      </c>
      <c r="J2" s="9" t="s">
        <v>18</v>
      </c>
      <c r="K2" s="6" t="s">
        <v>19</v>
      </c>
      <c r="L2" s="6" t="s">
        <v>20</v>
      </c>
      <c r="M2" s="7" t="s">
        <v>21</v>
      </c>
      <c r="N2" s="3"/>
      <c r="O2" s="3"/>
      <c r="P2" s="3"/>
      <c r="Q2" s="3"/>
      <c r="R2" s="3"/>
      <c r="S2" s="3"/>
      <c r="T2" s="3"/>
      <c r="U2" s="3"/>
      <c r="V2" s="3"/>
      <c r="W2" s="3"/>
      <c r="X2" s="3"/>
      <c r="Y2" s="3"/>
    </row>
    <row r="3" spans="1:25" ht="188" customHeight="1" x14ac:dyDescent="0.15">
      <c r="A3" s="4" t="s">
        <v>22</v>
      </c>
      <c r="B3" s="5">
        <v>46173</v>
      </c>
      <c r="C3" s="6" t="s">
        <v>23</v>
      </c>
      <c r="D3" s="6" t="s">
        <v>24</v>
      </c>
      <c r="E3" s="6" t="s">
        <v>25</v>
      </c>
      <c r="F3" s="6" t="s">
        <v>26</v>
      </c>
      <c r="G3" s="7">
        <v>4</v>
      </c>
      <c r="H3" s="7">
        <v>4</v>
      </c>
      <c r="I3" s="8">
        <f>G3*H3</f>
        <v>16</v>
      </c>
      <c r="J3" s="9" t="s">
        <v>18</v>
      </c>
      <c r="K3" s="6" t="s">
        <v>27</v>
      </c>
      <c r="L3" s="6" t="s">
        <v>28</v>
      </c>
      <c r="M3" s="7" t="s">
        <v>21</v>
      </c>
      <c r="N3" s="3"/>
      <c r="O3" s="3"/>
      <c r="P3" s="3"/>
      <c r="Q3" s="3"/>
      <c r="R3" s="3"/>
      <c r="S3" s="3"/>
      <c r="T3" s="3"/>
      <c r="U3" s="3"/>
      <c r="V3" s="3"/>
      <c r="W3" s="3"/>
      <c r="X3" s="3"/>
      <c r="Y3" s="3"/>
    </row>
    <row r="4" spans="1:25" ht="188" customHeight="1" x14ac:dyDescent="0.15">
      <c r="A4" s="4" t="s">
        <v>29</v>
      </c>
      <c r="B4" s="5">
        <v>46173</v>
      </c>
      <c r="C4" s="6" t="s">
        <v>30</v>
      </c>
      <c r="D4" s="6" t="s">
        <v>31</v>
      </c>
      <c r="E4" s="6" t="s">
        <v>32</v>
      </c>
      <c r="F4" s="6" t="s">
        <v>33</v>
      </c>
      <c r="G4" s="7">
        <v>3</v>
      </c>
      <c r="H4" s="7">
        <v>4</v>
      </c>
      <c r="I4" s="8">
        <f>G4*H4</f>
        <v>12</v>
      </c>
      <c r="J4" s="10" t="s">
        <v>34</v>
      </c>
      <c r="K4" s="6" t="s">
        <v>35</v>
      </c>
      <c r="L4" s="6" t="s">
        <v>36</v>
      </c>
      <c r="M4" s="7" t="s">
        <v>21</v>
      </c>
      <c r="N4" s="3"/>
      <c r="O4" s="3"/>
      <c r="P4" s="3"/>
      <c r="Q4" s="3"/>
      <c r="R4" s="3"/>
      <c r="S4" s="3"/>
      <c r="T4" s="3"/>
      <c r="U4" s="3"/>
      <c r="V4" s="3"/>
      <c r="W4" s="3"/>
      <c r="X4" s="3"/>
      <c r="Y4" s="3"/>
    </row>
    <row r="5" spans="1:25" ht="15" x14ac:dyDescent="0.15">
      <c r="A5" s="3"/>
      <c r="B5" s="3"/>
      <c r="C5" s="3"/>
      <c r="D5" s="3"/>
      <c r="E5" s="3"/>
      <c r="F5" s="3"/>
      <c r="G5" s="3"/>
      <c r="H5" s="3"/>
      <c r="I5" s="3"/>
      <c r="J5" s="3"/>
      <c r="K5" s="3"/>
      <c r="L5" s="3"/>
      <c r="M5" s="3"/>
      <c r="N5" s="3"/>
      <c r="O5" s="3"/>
      <c r="P5" s="3"/>
      <c r="Q5" s="3"/>
      <c r="R5" s="3"/>
      <c r="S5" s="3"/>
      <c r="T5" s="3"/>
      <c r="U5" s="3"/>
      <c r="V5" s="3"/>
      <c r="W5" s="3"/>
      <c r="X5" s="3"/>
      <c r="Y5" s="3"/>
    </row>
    <row r="6" spans="1:25" ht="15" x14ac:dyDescent="0.15">
      <c r="A6" s="3"/>
      <c r="B6" s="3"/>
      <c r="C6" s="3"/>
      <c r="D6" s="3"/>
      <c r="E6" s="3"/>
      <c r="F6" s="3"/>
      <c r="G6" s="3"/>
      <c r="H6" s="3"/>
      <c r="I6" s="3"/>
      <c r="J6" s="3"/>
      <c r="K6" s="3"/>
      <c r="L6" s="3"/>
      <c r="M6" s="3"/>
      <c r="N6" s="3"/>
      <c r="O6" s="3"/>
      <c r="P6" s="3"/>
      <c r="Q6" s="3"/>
      <c r="R6" s="3"/>
      <c r="S6" s="3"/>
      <c r="T6" s="3"/>
      <c r="U6" s="3"/>
      <c r="V6" s="3"/>
      <c r="W6" s="3"/>
      <c r="X6" s="3"/>
      <c r="Y6" s="3"/>
    </row>
    <row r="7" spans="1:25" ht="15" x14ac:dyDescent="0.15">
      <c r="A7" s="3"/>
      <c r="B7" s="3"/>
      <c r="C7" s="3"/>
      <c r="D7" s="3"/>
      <c r="E7" s="3"/>
      <c r="F7" s="3"/>
      <c r="G7" s="3"/>
      <c r="H7" s="3"/>
      <c r="I7" s="3"/>
      <c r="J7" s="3"/>
      <c r="K7" s="3"/>
      <c r="L7" s="3"/>
      <c r="M7" s="3"/>
      <c r="N7" s="3"/>
      <c r="O7" s="3"/>
      <c r="P7" s="3"/>
      <c r="Q7" s="3"/>
      <c r="R7" s="3"/>
      <c r="S7" s="3"/>
      <c r="T7" s="3"/>
      <c r="U7" s="3"/>
      <c r="V7" s="3"/>
      <c r="W7" s="3"/>
      <c r="X7" s="3"/>
      <c r="Y7" s="3"/>
    </row>
    <row r="8" spans="1:25" ht="15" x14ac:dyDescent="0.15">
      <c r="A8" s="3"/>
      <c r="B8" s="3"/>
      <c r="C8" s="3"/>
      <c r="D8" s="3"/>
      <c r="E8" s="3"/>
      <c r="F8" s="3"/>
      <c r="G8" s="3"/>
      <c r="H8" s="3"/>
      <c r="I8" s="3"/>
      <c r="J8" s="3"/>
      <c r="K8" s="3"/>
      <c r="L8" s="3"/>
      <c r="M8" s="3"/>
      <c r="N8" s="3"/>
      <c r="O8" s="3"/>
      <c r="P8" s="3"/>
      <c r="Q8" s="3"/>
      <c r="R8" s="3"/>
      <c r="S8" s="3"/>
      <c r="T8" s="3"/>
      <c r="U8" s="3"/>
      <c r="V8" s="3"/>
      <c r="W8" s="3"/>
      <c r="X8" s="3"/>
      <c r="Y8" s="3"/>
    </row>
    <row r="9" spans="1:25" ht="15" x14ac:dyDescent="0.15">
      <c r="A9" s="3"/>
      <c r="B9" s="3"/>
      <c r="C9" s="3"/>
      <c r="D9" s="3"/>
      <c r="E9" s="3"/>
      <c r="F9" s="3"/>
      <c r="G9" s="3"/>
      <c r="H9" s="3"/>
      <c r="I9" s="3"/>
      <c r="J9" s="3"/>
      <c r="K9" s="3"/>
      <c r="L9" s="3"/>
      <c r="M9" s="3"/>
      <c r="N9" s="3"/>
      <c r="O9" s="3"/>
      <c r="P9" s="3"/>
      <c r="Q9" s="3"/>
      <c r="R9" s="3"/>
      <c r="S9" s="3"/>
      <c r="T9" s="3"/>
      <c r="U9" s="3"/>
      <c r="V9" s="3"/>
      <c r="W9" s="3"/>
      <c r="X9" s="3"/>
      <c r="Y9" s="3"/>
    </row>
    <row r="10" spans="1:25" ht="15" x14ac:dyDescent="0.15">
      <c r="A10" s="3"/>
      <c r="B10" s="3"/>
      <c r="C10" s="3"/>
      <c r="D10" s="3"/>
      <c r="E10" s="3"/>
      <c r="F10" s="3"/>
      <c r="G10" s="3"/>
      <c r="H10" s="3"/>
      <c r="I10" s="3"/>
      <c r="J10" s="3"/>
      <c r="K10" s="3" t="s">
        <v>37</v>
      </c>
      <c r="L10" s="3"/>
      <c r="M10" s="3"/>
      <c r="N10" s="3"/>
      <c r="O10" s="3"/>
      <c r="P10" s="3"/>
      <c r="Q10" s="3"/>
      <c r="R10" s="3"/>
      <c r="S10" s="3"/>
      <c r="T10" s="3"/>
      <c r="U10" s="3"/>
      <c r="V10" s="3"/>
      <c r="W10" s="3"/>
      <c r="X10" s="3"/>
      <c r="Y10" s="3"/>
    </row>
    <row r="11" spans="1:25" ht="15" x14ac:dyDescent="0.15">
      <c r="A11" s="3"/>
      <c r="B11" s="3"/>
      <c r="C11" s="3"/>
      <c r="D11" s="3"/>
      <c r="E11" s="3"/>
      <c r="F11" s="3"/>
      <c r="G11" s="3"/>
      <c r="H11" s="3"/>
      <c r="I11" s="3"/>
      <c r="J11" s="3"/>
      <c r="K11" s="3"/>
      <c r="L11" s="3"/>
      <c r="M11" s="3"/>
      <c r="N11" s="3"/>
      <c r="O11" s="3"/>
      <c r="P11" s="3"/>
      <c r="Q11" s="3"/>
      <c r="R11" s="3"/>
      <c r="S11" s="3"/>
      <c r="T11" s="3"/>
      <c r="U11" s="3"/>
      <c r="V11" s="3"/>
      <c r="W11" s="3"/>
      <c r="X11" s="3"/>
      <c r="Y11" s="3"/>
    </row>
    <row r="12" spans="1:25" ht="15" x14ac:dyDescent="0.15">
      <c r="A12" s="3"/>
      <c r="B12" s="3"/>
      <c r="C12" s="3"/>
      <c r="D12" s="3"/>
      <c r="E12" s="3"/>
      <c r="F12" s="3"/>
      <c r="G12" s="3"/>
      <c r="H12" s="3"/>
      <c r="I12" s="3"/>
      <c r="J12" s="3"/>
      <c r="K12" s="3"/>
      <c r="L12" s="3"/>
      <c r="M12" s="3"/>
      <c r="N12" s="3"/>
      <c r="O12" s="3"/>
      <c r="P12" s="3"/>
      <c r="Q12" s="3"/>
      <c r="R12" s="3"/>
      <c r="S12" s="3"/>
      <c r="T12" s="3"/>
      <c r="U12" s="3"/>
      <c r="V12" s="3"/>
      <c r="W12" s="3"/>
      <c r="X12" s="3"/>
      <c r="Y12" s="3"/>
    </row>
    <row r="13" spans="1:25" ht="15" x14ac:dyDescent="0.15">
      <c r="A13" s="3"/>
      <c r="B13" s="3"/>
      <c r="C13" s="3"/>
      <c r="D13" s="3"/>
      <c r="E13" s="3"/>
      <c r="F13" s="3"/>
      <c r="G13" s="3"/>
      <c r="H13" s="3"/>
      <c r="I13" s="3"/>
      <c r="J13" s="3"/>
      <c r="K13" s="3"/>
      <c r="L13" s="3"/>
      <c r="M13" s="3"/>
      <c r="N13" s="3"/>
      <c r="O13" s="3"/>
      <c r="P13" s="3"/>
      <c r="Q13" s="3"/>
      <c r="R13" s="3"/>
      <c r="S13" s="3"/>
      <c r="T13" s="3"/>
      <c r="U13" s="3"/>
      <c r="V13" s="3"/>
      <c r="W13" s="3"/>
      <c r="X13" s="3"/>
      <c r="Y13" s="3"/>
    </row>
    <row r="14" spans="1:25" ht="15" x14ac:dyDescent="0.15">
      <c r="A14" s="3"/>
      <c r="B14" s="3"/>
      <c r="C14" s="3"/>
      <c r="D14" s="3"/>
      <c r="E14" s="3"/>
      <c r="F14" s="3"/>
      <c r="G14" s="3"/>
      <c r="H14" s="3"/>
      <c r="I14" s="3"/>
      <c r="J14" s="3"/>
      <c r="K14" s="3"/>
      <c r="L14" s="3"/>
      <c r="M14" s="3"/>
      <c r="N14" s="3"/>
      <c r="O14" s="3"/>
      <c r="P14" s="3"/>
      <c r="Q14" s="3"/>
      <c r="R14" s="3"/>
      <c r="S14" s="3"/>
      <c r="T14" s="3"/>
      <c r="U14" s="3"/>
      <c r="V14" s="3"/>
      <c r="W14" s="3"/>
      <c r="X14" s="3"/>
      <c r="Y14" s="3"/>
    </row>
    <row r="15" spans="1:25" ht="15" x14ac:dyDescent="0.15">
      <c r="A15" s="3"/>
      <c r="B15" s="3"/>
      <c r="C15" s="3"/>
      <c r="D15" s="3"/>
      <c r="E15" s="3"/>
      <c r="F15" s="3"/>
      <c r="G15" s="3"/>
      <c r="H15" s="3"/>
      <c r="I15" s="3"/>
      <c r="J15" s="3"/>
      <c r="K15" s="3"/>
      <c r="L15" s="3"/>
      <c r="M15" s="3"/>
      <c r="N15" s="3"/>
      <c r="O15" s="3"/>
      <c r="P15" s="3"/>
      <c r="Q15" s="3"/>
      <c r="R15" s="3"/>
      <c r="S15" s="3"/>
      <c r="T15" s="3"/>
      <c r="U15" s="3"/>
      <c r="V15" s="3"/>
      <c r="W15" s="3"/>
      <c r="X15" s="3"/>
      <c r="Y15" s="3"/>
    </row>
    <row r="16" spans="1:25" ht="15" x14ac:dyDescent="0.15">
      <c r="A16" s="3"/>
      <c r="B16" s="3"/>
      <c r="C16" s="3"/>
      <c r="D16" s="3"/>
      <c r="E16" s="3"/>
      <c r="F16" s="3"/>
      <c r="G16" s="3"/>
      <c r="H16" s="3"/>
      <c r="I16" s="3"/>
      <c r="J16" s="3"/>
      <c r="K16" s="3"/>
      <c r="L16" s="3"/>
      <c r="M16" s="3"/>
      <c r="N16" s="3"/>
      <c r="O16" s="3"/>
      <c r="P16" s="3"/>
      <c r="Q16" s="3"/>
      <c r="R16" s="3"/>
      <c r="S16" s="3"/>
      <c r="T16" s="3"/>
      <c r="U16" s="3"/>
      <c r="V16" s="3"/>
      <c r="W16" s="3"/>
      <c r="X16" s="3"/>
      <c r="Y16" s="3"/>
    </row>
    <row r="17" spans="1:25" ht="15" x14ac:dyDescent="0.15">
      <c r="A17" s="3"/>
      <c r="B17" s="3"/>
      <c r="C17" s="3"/>
      <c r="D17" s="3"/>
      <c r="E17" s="3"/>
      <c r="F17" s="3"/>
      <c r="G17" s="3"/>
      <c r="H17" s="3"/>
      <c r="I17" s="3"/>
      <c r="J17" s="3"/>
      <c r="K17" s="3"/>
      <c r="L17" s="3"/>
      <c r="M17" s="3"/>
      <c r="N17" s="3"/>
      <c r="O17" s="3"/>
      <c r="P17" s="3"/>
      <c r="Q17" s="3"/>
      <c r="R17" s="3"/>
      <c r="S17" s="3"/>
      <c r="T17" s="3"/>
      <c r="U17" s="3"/>
      <c r="V17" s="3"/>
      <c r="W17" s="3"/>
      <c r="X17" s="3"/>
      <c r="Y17" s="3"/>
    </row>
    <row r="18" spans="1:25" ht="15" x14ac:dyDescent="0.15">
      <c r="A18" s="3"/>
      <c r="B18" s="3"/>
      <c r="C18" s="3"/>
      <c r="D18" s="3"/>
      <c r="E18" s="3"/>
      <c r="F18" s="3"/>
      <c r="G18" s="3"/>
      <c r="H18" s="3"/>
      <c r="I18" s="3"/>
      <c r="J18" s="3"/>
      <c r="K18" s="3"/>
      <c r="L18" s="3"/>
      <c r="M18" s="3"/>
      <c r="N18" s="3"/>
      <c r="O18" s="3"/>
      <c r="P18" s="3"/>
      <c r="Q18" s="3"/>
      <c r="R18" s="3"/>
      <c r="S18" s="3"/>
      <c r="T18" s="3"/>
      <c r="U18" s="3"/>
      <c r="V18" s="3"/>
      <c r="W18" s="3"/>
      <c r="X18" s="3"/>
      <c r="Y18" s="3"/>
    </row>
    <row r="19" spans="1:25" ht="15" x14ac:dyDescent="0.15">
      <c r="A19" s="3"/>
      <c r="B19" s="3"/>
      <c r="C19" s="3"/>
      <c r="D19" s="3"/>
      <c r="E19" s="3"/>
      <c r="F19" s="3"/>
      <c r="G19" s="3"/>
      <c r="H19" s="3"/>
      <c r="I19" s="3"/>
      <c r="J19" s="3"/>
      <c r="K19" s="3"/>
      <c r="L19" s="3"/>
      <c r="M19" s="3"/>
      <c r="N19" s="3"/>
      <c r="O19" s="3"/>
      <c r="P19" s="3"/>
      <c r="Q19" s="3"/>
      <c r="R19" s="3"/>
      <c r="S19" s="3"/>
      <c r="T19" s="3"/>
      <c r="U19" s="3"/>
      <c r="V19" s="3"/>
      <c r="W19" s="3"/>
      <c r="X19" s="3"/>
      <c r="Y19" s="3"/>
    </row>
    <row r="20" spans="1:25" ht="15" x14ac:dyDescent="0.15">
      <c r="A20" s="3"/>
      <c r="B20" s="3"/>
      <c r="C20" s="3"/>
      <c r="D20" s="3"/>
      <c r="E20" s="3"/>
      <c r="F20" s="3"/>
      <c r="G20" s="3"/>
      <c r="H20" s="3"/>
      <c r="I20" s="3"/>
      <c r="J20" s="3"/>
      <c r="K20" s="3"/>
      <c r="L20" s="3"/>
      <c r="M20" s="3"/>
      <c r="N20" s="3"/>
      <c r="O20" s="3"/>
      <c r="P20" s="3"/>
      <c r="Q20" s="3"/>
      <c r="R20" s="3"/>
      <c r="S20" s="3"/>
      <c r="T20" s="3"/>
      <c r="U20" s="3"/>
      <c r="V20" s="3"/>
      <c r="W20" s="3"/>
      <c r="X20" s="3"/>
      <c r="Y20" s="3"/>
    </row>
    <row r="21" spans="1:25" ht="15.75" customHeight="1" x14ac:dyDescent="0.15">
      <c r="A21" s="3"/>
      <c r="B21" s="3"/>
      <c r="C21" s="3"/>
      <c r="D21" s="3"/>
      <c r="E21" s="3"/>
      <c r="F21" s="3"/>
      <c r="G21" s="3"/>
      <c r="H21" s="3"/>
      <c r="I21" s="3"/>
      <c r="J21" s="3"/>
      <c r="K21" s="3"/>
      <c r="L21" s="3"/>
      <c r="M21" s="3"/>
      <c r="N21" s="3"/>
      <c r="O21" s="3"/>
      <c r="P21" s="3"/>
      <c r="Q21" s="3"/>
      <c r="R21" s="3"/>
      <c r="S21" s="3"/>
      <c r="T21" s="3"/>
      <c r="U21" s="3"/>
      <c r="V21" s="3"/>
      <c r="W21" s="3"/>
      <c r="X21" s="3"/>
      <c r="Y21" s="3"/>
    </row>
    <row r="22" spans="1:25" ht="15.75" customHeight="1" x14ac:dyDescent="0.15">
      <c r="A22" s="3"/>
      <c r="B22" s="3"/>
      <c r="C22" s="3"/>
      <c r="D22" s="3"/>
      <c r="E22" s="3"/>
      <c r="F22" s="3"/>
      <c r="G22" s="3"/>
      <c r="H22" s="3"/>
      <c r="I22" s="3"/>
      <c r="J22" s="3"/>
      <c r="K22" s="3"/>
      <c r="L22" s="3"/>
      <c r="M22" s="3"/>
      <c r="N22" s="3"/>
      <c r="O22" s="3"/>
      <c r="P22" s="3"/>
      <c r="Q22" s="3"/>
      <c r="R22" s="3"/>
      <c r="S22" s="3"/>
      <c r="T22" s="3"/>
      <c r="U22" s="3"/>
      <c r="V22" s="3"/>
      <c r="W22" s="3"/>
      <c r="X22" s="3"/>
      <c r="Y22" s="3"/>
    </row>
    <row r="23" spans="1:25" ht="15.75" customHeight="1" x14ac:dyDescent="0.15">
      <c r="A23" s="3"/>
      <c r="B23" s="3"/>
      <c r="C23" s="3"/>
      <c r="D23" s="3"/>
      <c r="E23" s="3"/>
      <c r="F23" s="3"/>
      <c r="G23" s="3"/>
      <c r="H23" s="3"/>
      <c r="I23" s="3"/>
      <c r="J23" s="3"/>
      <c r="K23" s="3"/>
      <c r="L23" s="3"/>
      <c r="M23" s="3"/>
      <c r="N23" s="3"/>
      <c r="O23" s="3"/>
      <c r="P23" s="3"/>
      <c r="Q23" s="3"/>
      <c r="R23" s="3"/>
      <c r="S23" s="3"/>
      <c r="T23" s="3"/>
      <c r="U23" s="3"/>
      <c r="V23" s="3"/>
      <c r="W23" s="3"/>
      <c r="X23" s="3"/>
      <c r="Y23" s="3"/>
    </row>
    <row r="24" spans="1:25" ht="15.75" customHeight="1" x14ac:dyDescent="0.15">
      <c r="A24" s="3"/>
      <c r="B24" s="3"/>
      <c r="C24" s="3"/>
      <c r="D24" s="3"/>
      <c r="E24" s="3"/>
      <c r="F24" s="3"/>
      <c r="G24" s="3"/>
      <c r="H24" s="3"/>
      <c r="I24" s="3"/>
      <c r="J24" s="3"/>
      <c r="K24" s="3"/>
      <c r="L24" s="3"/>
      <c r="M24" s="3"/>
      <c r="N24" s="3"/>
      <c r="O24" s="3"/>
      <c r="P24" s="3"/>
      <c r="Q24" s="3"/>
      <c r="R24" s="3"/>
      <c r="S24" s="3"/>
      <c r="T24" s="3"/>
      <c r="U24" s="3"/>
      <c r="V24" s="3"/>
      <c r="W24" s="3"/>
      <c r="X24" s="3"/>
      <c r="Y24" s="3"/>
    </row>
    <row r="25" spans="1:25" ht="15.75" customHeight="1" x14ac:dyDescent="0.15">
      <c r="A25" s="3"/>
      <c r="B25" s="3"/>
      <c r="C25" s="3"/>
      <c r="D25" s="3"/>
      <c r="E25" s="3"/>
      <c r="F25" s="3"/>
      <c r="G25" s="3"/>
      <c r="H25" s="3"/>
      <c r="I25" s="3"/>
      <c r="J25" s="3"/>
      <c r="K25" s="3"/>
      <c r="L25" s="3"/>
      <c r="M25" s="3"/>
      <c r="N25" s="3"/>
      <c r="O25" s="3"/>
      <c r="P25" s="3"/>
      <c r="Q25" s="3"/>
      <c r="R25" s="3"/>
      <c r="S25" s="3"/>
      <c r="T25" s="3"/>
      <c r="U25" s="3"/>
      <c r="V25" s="3"/>
      <c r="W25" s="3"/>
      <c r="X25" s="3"/>
      <c r="Y25" s="3"/>
    </row>
    <row r="26" spans="1:25" ht="15.75" customHeight="1" x14ac:dyDescent="0.15">
      <c r="A26" s="3"/>
      <c r="B26" s="3"/>
      <c r="C26" s="3"/>
      <c r="D26" s="3"/>
      <c r="E26" s="3"/>
      <c r="F26" s="3"/>
      <c r="G26" s="3"/>
      <c r="H26" s="3"/>
      <c r="I26" s="3"/>
      <c r="J26" s="3"/>
      <c r="K26" s="3"/>
      <c r="L26" s="3"/>
      <c r="M26" s="3"/>
      <c r="N26" s="3"/>
      <c r="O26" s="3"/>
      <c r="P26" s="3"/>
      <c r="Q26" s="3"/>
      <c r="R26" s="3"/>
      <c r="S26" s="3"/>
      <c r="T26" s="3"/>
      <c r="U26" s="3"/>
      <c r="V26" s="3"/>
      <c r="W26" s="3"/>
      <c r="X26" s="3"/>
      <c r="Y26" s="3"/>
    </row>
    <row r="27" spans="1:25" ht="15.75" customHeight="1" x14ac:dyDescent="0.15">
      <c r="A27" s="3"/>
      <c r="B27" s="3"/>
      <c r="C27" s="3"/>
      <c r="D27" s="3"/>
      <c r="E27" s="3"/>
      <c r="F27" s="3"/>
      <c r="G27" s="3"/>
      <c r="H27" s="3"/>
      <c r="I27" s="3"/>
      <c r="J27" s="3"/>
      <c r="K27" s="3"/>
      <c r="L27" s="3"/>
      <c r="M27" s="3"/>
      <c r="N27" s="3"/>
      <c r="O27" s="3"/>
      <c r="P27" s="3"/>
      <c r="Q27" s="3"/>
      <c r="R27" s="3"/>
      <c r="S27" s="3"/>
      <c r="T27" s="3"/>
      <c r="U27" s="3"/>
      <c r="V27" s="3"/>
      <c r="W27" s="3"/>
      <c r="X27" s="3"/>
      <c r="Y27" s="3"/>
    </row>
    <row r="28" spans="1:25" ht="15.75" customHeight="1" x14ac:dyDescent="0.15">
      <c r="A28" s="3"/>
      <c r="B28" s="3"/>
      <c r="C28" s="3"/>
      <c r="D28" s="3"/>
      <c r="E28" s="3"/>
      <c r="F28" s="3"/>
      <c r="G28" s="3"/>
      <c r="H28" s="3"/>
      <c r="I28" s="3"/>
      <c r="J28" s="3"/>
      <c r="K28" s="3"/>
      <c r="L28" s="3"/>
      <c r="M28" s="3"/>
      <c r="N28" s="3"/>
      <c r="O28" s="3"/>
      <c r="P28" s="3"/>
      <c r="Q28" s="3"/>
      <c r="R28" s="3"/>
      <c r="S28" s="3"/>
      <c r="T28" s="3"/>
      <c r="U28" s="3"/>
      <c r="V28" s="3"/>
      <c r="W28" s="3"/>
      <c r="X28" s="3"/>
      <c r="Y28" s="3"/>
    </row>
    <row r="29" spans="1:25" ht="15.75" customHeight="1" x14ac:dyDescent="0.15">
      <c r="A29" s="3"/>
      <c r="B29" s="3"/>
      <c r="C29" s="3"/>
      <c r="D29" s="3"/>
      <c r="E29" s="3"/>
      <c r="F29" s="3"/>
      <c r="G29" s="3"/>
      <c r="H29" s="3"/>
      <c r="I29" s="3"/>
      <c r="J29" s="3"/>
      <c r="K29" s="3"/>
      <c r="L29" s="3"/>
      <c r="M29" s="3"/>
      <c r="N29" s="3"/>
      <c r="O29" s="3"/>
      <c r="P29" s="3"/>
      <c r="Q29" s="3"/>
      <c r="R29" s="3"/>
      <c r="S29" s="3"/>
      <c r="T29" s="3"/>
      <c r="U29" s="3"/>
      <c r="V29" s="3"/>
      <c r="W29" s="3"/>
      <c r="X29" s="3"/>
      <c r="Y29" s="3"/>
    </row>
    <row r="30" spans="1:25" ht="15.75" customHeight="1" x14ac:dyDescent="0.15">
      <c r="A30" s="3"/>
      <c r="B30" s="3"/>
      <c r="C30" s="3"/>
      <c r="D30" s="3"/>
      <c r="E30" s="3"/>
      <c r="F30" s="3"/>
      <c r="G30" s="3"/>
      <c r="H30" s="3"/>
      <c r="I30" s="3"/>
      <c r="J30" s="3"/>
      <c r="K30" s="3"/>
      <c r="L30" s="3"/>
      <c r="M30" s="3"/>
      <c r="N30" s="3"/>
      <c r="O30" s="3"/>
      <c r="P30" s="3"/>
      <c r="Q30" s="3"/>
      <c r="R30" s="3"/>
      <c r="S30" s="3"/>
      <c r="T30" s="3"/>
      <c r="U30" s="3"/>
      <c r="V30" s="3"/>
      <c r="W30" s="3"/>
      <c r="X30" s="3"/>
      <c r="Y30" s="3"/>
    </row>
    <row r="31" spans="1:25" ht="15.75" customHeight="1" x14ac:dyDescent="0.15">
      <c r="A31" s="3"/>
      <c r="B31" s="3"/>
      <c r="C31" s="3"/>
      <c r="D31" s="3"/>
      <c r="E31" s="3"/>
      <c r="F31" s="3"/>
      <c r="G31" s="3"/>
      <c r="H31" s="3"/>
      <c r="I31" s="3"/>
      <c r="J31" s="3"/>
      <c r="K31" s="3"/>
      <c r="L31" s="3"/>
      <c r="M31" s="3"/>
      <c r="N31" s="3"/>
      <c r="O31" s="3"/>
      <c r="P31" s="3"/>
      <c r="Q31" s="3"/>
      <c r="R31" s="3"/>
      <c r="S31" s="3"/>
      <c r="T31" s="3"/>
      <c r="U31" s="3"/>
      <c r="V31" s="3"/>
      <c r="W31" s="3"/>
      <c r="X31" s="3"/>
      <c r="Y31" s="3"/>
    </row>
    <row r="32" spans="1:25" ht="15.75" customHeight="1" x14ac:dyDescent="0.15">
      <c r="A32" s="3"/>
      <c r="B32" s="3"/>
      <c r="C32" s="3"/>
      <c r="D32" s="3"/>
      <c r="E32" s="3"/>
      <c r="F32" s="3"/>
      <c r="G32" s="3"/>
      <c r="H32" s="3"/>
      <c r="I32" s="3"/>
      <c r="J32" s="3"/>
      <c r="K32" s="3"/>
      <c r="L32" s="3"/>
      <c r="M32" s="3"/>
      <c r="N32" s="3"/>
      <c r="O32" s="3"/>
      <c r="P32" s="3"/>
      <c r="Q32" s="3"/>
      <c r="R32" s="3"/>
      <c r="S32" s="3"/>
      <c r="T32" s="3"/>
      <c r="U32" s="3"/>
      <c r="V32" s="3"/>
      <c r="W32" s="3"/>
      <c r="X32" s="3"/>
      <c r="Y32" s="3"/>
    </row>
    <row r="33" spans="1:25" ht="15.75" customHeight="1" x14ac:dyDescent="0.15">
      <c r="A33" s="3"/>
      <c r="B33" s="3"/>
      <c r="C33" s="3"/>
      <c r="D33" s="3"/>
      <c r="E33" s="3"/>
      <c r="F33" s="3"/>
      <c r="G33" s="3"/>
      <c r="H33" s="3"/>
      <c r="I33" s="3"/>
      <c r="J33" s="3"/>
      <c r="K33" s="3"/>
      <c r="L33" s="3"/>
      <c r="M33" s="3"/>
      <c r="N33" s="3"/>
      <c r="O33" s="3"/>
      <c r="P33" s="3"/>
      <c r="Q33" s="3"/>
      <c r="R33" s="3"/>
      <c r="S33" s="3"/>
      <c r="T33" s="3"/>
      <c r="U33" s="3"/>
      <c r="V33" s="3"/>
      <c r="W33" s="3"/>
      <c r="X33" s="3"/>
      <c r="Y33" s="3"/>
    </row>
    <row r="34" spans="1:25" ht="15.75" customHeight="1" x14ac:dyDescent="0.15">
      <c r="A34" s="3"/>
      <c r="B34" s="3"/>
      <c r="C34" s="3"/>
      <c r="D34" s="3"/>
      <c r="E34" s="3"/>
      <c r="F34" s="3"/>
      <c r="G34" s="3"/>
      <c r="H34" s="3"/>
      <c r="I34" s="3"/>
      <c r="J34" s="3"/>
      <c r="K34" s="3"/>
      <c r="L34" s="3"/>
      <c r="M34" s="3"/>
      <c r="N34" s="3"/>
      <c r="O34" s="3"/>
      <c r="P34" s="3"/>
      <c r="Q34" s="3"/>
      <c r="R34" s="3"/>
      <c r="S34" s="3"/>
      <c r="T34" s="3"/>
      <c r="U34" s="3"/>
      <c r="V34" s="3"/>
      <c r="W34" s="3"/>
      <c r="X34" s="3"/>
      <c r="Y34" s="3"/>
    </row>
    <row r="35" spans="1:25" ht="15.75" customHeight="1" x14ac:dyDescent="0.15">
      <c r="A35" s="3"/>
      <c r="B35" s="3"/>
      <c r="C35" s="3"/>
      <c r="D35" s="3"/>
      <c r="E35" s="3"/>
      <c r="F35" s="3"/>
      <c r="G35" s="3"/>
      <c r="H35" s="3"/>
      <c r="I35" s="3"/>
      <c r="J35" s="3"/>
      <c r="K35" s="3"/>
      <c r="L35" s="3"/>
      <c r="M35" s="3"/>
      <c r="N35" s="3"/>
      <c r="O35" s="3"/>
      <c r="P35" s="3"/>
      <c r="Q35" s="3"/>
      <c r="R35" s="3"/>
      <c r="S35" s="3"/>
      <c r="T35" s="3"/>
      <c r="U35" s="3"/>
      <c r="V35" s="3"/>
      <c r="W35" s="3"/>
      <c r="X35" s="3"/>
      <c r="Y35" s="3"/>
    </row>
    <row r="36" spans="1:25" ht="15.75" customHeight="1" x14ac:dyDescent="0.15">
      <c r="A36" s="3"/>
      <c r="B36" s="3"/>
      <c r="C36" s="3"/>
      <c r="D36" s="3"/>
      <c r="E36" s="3"/>
      <c r="F36" s="3"/>
      <c r="G36" s="3"/>
      <c r="H36" s="3"/>
      <c r="I36" s="3"/>
      <c r="J36" s="3"/>
      <c r="K36" s="3"/>
      <c r="L36" s="3"/>
      <c r="M36" s="3"/>
      <c r="N36" s="3"/>
      <c r="O36" s="3"/>
      <c r="P36" s="3"/>
      <c r="Q36" s="3"/>
      <c r="R36" s="3"/>
      <c r="S36" s="3"/>
      <c r="T36" s="3"/>
      <c r="U36" s="3"/>
      <c r="V36" s="3"/>
      <c r="W36" s="3"/>
      <c r="X36" s="3"/>
      <c r="Y36" s="3"/>
    </row>
    <row r="37" spans="1:25" ht="15.75" customHeight="1" x14ac:dyDescent="0.15">
      <c r="A37" s="3"/>
      <c r="B37" s="3"/>
      <c r="C37" s="3"/>
      <c r="D37" s="3"/>
      <c r="E37" s="3"/>
      <c r="F37" s="3"/>
      <c r="G37" s="3"/>
      <c r="H37" s="3"/>
      <c r="I37" s="3"/>
      <c r="J37" s="3"/>
      <c r="K37" s="3"/>
      <c r="L37" s="3"/>
      <c r="M37" s="3"/>
      <c r="N37" s="3"/>
      <c r="O37" s="3"/>
      <c r="P37" s="3"/>
      <c r="Q37" s="3"/>
      <c r="R37" s="3"/>
      <c r="S37" s="3"/>
      <c r="T37" s="3"/>
      <c r="U37" s="3"/>
      <c r="V37" s="3"/>
      <c r="W37" s="3"/>
      <c r="X37" s="3"/>
      <c r="Y37" s="3"/>
    </row>
    <row r="38" spans="1:25" ht="15.75" customHeight="1" x14ac:dyDescent="0.15">
      <c r="A38" s="3"/>
      <c r="B38" s="3"/>
      <c r="C38" s="3"/>
      <c r="D38" s="3"/>
      <c r="E38" s="3"/>
      <c r="F38" s="3"/>
      <c r="G38" s="3"/>
      <c r="H38" s="3"/>
      <c r="I38" s="3"/>
      <c r="J38" s="3"/>
      <c r="K38" s="3"/>
      <c r="L38" s="3"/>
      <c r="M38" s="3"/>
      <c r="N38" s="3"/>
      <c r="O38" s="3"/>
      <c r="P38" s="3"/>
      <c r="Q38" s="3"/>
      <c r="R38" s="3"/>
      <c r="S38" s="3"/>
      <c r="T38" s="3"/>
      <c r="U38" s="3"/>
      <c r="V38" s="3"/>
      <c r="W38" s="3"/>
      <c r="X38" s="3"/>
      <c r="Y38" s="3"/>
    </row>
    <row r="39" spans="1:25" ht="15.75" customHeight="1" x14ac:dyDescent="0.15">
      <c r="A39" s="3"/>
      <c r="B39" s="3"/>
      <c r="C39" s="3"/>
      <c r="D39" s="3"/>
      <c r="E39" s="3"/>
      <c r="F39" s="3"/>
      <c r="G39" s="3"/>
      <c r="H39" s="3"/>
      <c r="I39" s="3"/>
      <c r="J39" s="3"/>
      <c r="K39" s="3"/>
      <c r="L39" s="3"/>
      <c r="M39" s="3"/>
      <c r="N39" s="3"/>
      <c r="O39" s="3"/>
      <c r="P39" s="3"/>
      <c r="Q39" s="3"/>
      <c r="R39" s="3"/>
      <c r="S39" s="3"/>
      <c r="T39" s="3"/>
      <c r="U39" s="3"/>
      <c r="V39" s="3"/>
      <c r="W39" s="3"/>
      <c r="X39" s="3"/>
      <c r="Y39" s="3"/>
    </row>
    <row r="40" spans="1:25" ht="15.75" customHeight="1" x14ac:dyDescent="0.15">
      <c r="A40" s="3"/>
      <c r="B40" s="3"/>
      <c r="C40" s="3"/>
      <c r="D40" s="3"/>
      <c r="E40" s="3"/>
      <c r="F40" s="3"/>
      <c r="G40" s="3"/>
      <c r="H40" s="3"/>
      <c r="I40" s="3"/>
      <c r="J40" s="3"/>
      <c r="K40" s="3"/>
      <c r="L40" s="3"/>
      <c r="M40" s="3"/>
      <c r="N40" s="3"/>
      <c r="O40" s="3"/>
      <c r="P40" s="3"/>
      <c r="Q40" s="3"/>
      <c r="R40" s="3"/>
      <c r="S40" s="3"/>
      <c r="T40" s="3"/>
      <c r="U40" s="3"/>
      <c r="V40" s="3"/>
      <c r="W40" s="3"/>
      <c r="X40" s="3"/>
      <c r="Y40" s="3"/>
    </row>
    <row r="41" spans="1:25" ht="15.75" customHeight="1" x14ac:dyDescent="0.15">
      <c r="A41" s="3"/>
      <c r="B41" s="3"/>
      <c r="C41" s="3"/>
      <c r="D41" s="3"/>
      <c r="E41" s="3"/>
      <c r="F41" s="3"/>
      <c r="G41" s="3"/>
      <c r="H41" s="3"/>
      <c r="I41" s="3"/>
      <c r="J41" s="3"/>
      <c r="K41" s="3"/>
      <c r="L41" s="3"/>
      <c r="M41" s="3"/>
      <c r="N41" s="3"/>
      <c r="O41" s="3"/>
      <c r="P41" s="3"/>
      <c r="Q41" s="3"/>
      <c r="R41" s="3"/>
      <c r="S41" s="3"/>
      <c r="T41" s="3"/>
      <c r="U41" s="3"/>
      <c r="V41" s="3"/>
      <c r="W41" s="3"/>
      <c r="X41" s="3"/>
      <c r="Y41" s="3"/>
    </row>
    <row r="42" spans="1:25" ht="15.75" customHeight="1" x14ac:dyDescent="0.15">
      <c r="A42" s="3"/>
      <c r="B42" s="3"/>
      <c r="C42" s="3"/>
      <c r="D42" s="3"/>
      <c r="E42" s="3"/>
      <c r="F42" s="3"/>
      <c r="G42" s="3"/>
      <c r="H42" s="3"/>
      <c r="I42" s="3"/>
      <c r="J42" s="3"/>
      <c r="K42" s="3"/>
      <c r="L42" s="3"/>
      <c r="M42" s="3"/>
      <c r="N42" s="3"/>
      <c r="O42" s="3"/>
      <c r="P42" s="3"/>
      <c r="Q42" s="3"/>
      <c r="R42" s="3"/>
      <c r="S42" s="3"/>
      <c r="T42" s="3"/>
      <c r="U42" s="3"/>
      <c r="V42" s="3"/>
      <c r="W42" s="3"/>
      <c r="X42" s="3"/>
      <c r="Y42" s="3"/>
    </row>
    <row r="43" spans="1:25" ht="15.75" customHeight="1" x14ac:dyDescent="0.15">
      <c r="A43" s="3"/>
      <c r="B43" s="3"/>
      <c r="C43" s="3"/>
      <c r="D43" s="3"/>
      <c r="E43" s="3"/>
      <c r="F43" s="3"/>
      <c r="G43" s="3"/>
      <c r="H43" s="3"/>
      <c r="I43" s="3"/>
      <c r="J43" s="3"/>
      <c r="K43" s="3"/>
      <c r="L43" s="3"/>
      <c r="M43" s="3"/>
      <c r="N43" s="3"/>
      <c r="O43" s="3"/>
      <c r="P43" s="3"/>
      <c r="Q43" s="3"/>
      <c r="R43" s="3"/>
      <c r="S43" s="3"/>
      <c r="T43" s="3"/>
      <c r="U43" s="3"/>
      <c r="V43" s="3"/>
      <c r="W43" s="3"/>
      <c r="X43" s="3"/>
      <c r="Y43" s="3"/>
    </row>
    <row r="44" spans="1:25" ht="15.75" customHeight="1" x14ac:dyDescent="0.15">
      <c r="A44" s="3"/>
      <c r="B44" s="3"/>
      <c r="C44" s="3"/>
      <c r="D44" s="3"/>
      <c r="E44" s="3"/>
      <c r="F44" s="3"/>
      <c r="G44" s="3"/>
      <c r="H44" s="3"/>
      <c r="I44" s="3"/>
      <c r="J44" s="3"/>
      <c r="K44" s="3"/>
      <c r="L44" s="3"/>
      <c r="M44" s="3"/>
      <c r="N44" s="3"/>
      <c r="O44" s="3"/>
      <c r="P44" s="3"/>
      <c r="Q44" s="3"/>
      <c r="R44" s="3"/>
      <c r="S44" s="3"/>
      <c r="T44" s="3"/>
      <c r="U44" s="3"/>
      <c r="V44" s="3"/>
      <c r="W44" s="3"/>
      <c r="X44" s="3"/>
      <c r="Y44" s="3"/>
    </row>
    <row r="45" spans="1:25" ht="15.75" customHeight="1" x14ac:dyDescent="0.15">
      <c r="A45" s="3"/>
      <c r="B45" s="3"/>
      <c r="C45" s="3"/>
      <c r="D45" s="3"/>
      <c r="E45" s="3"/>
      <c r="F45" s="3"/>
      <c r="G45" s="3"/>
      <c r="H45" s="3"/>
      <c r="I45" s="3"/>
      <c r="J45" s="3"/>
      <c r="K45" s="3"/>
      <c r="L45" s="3"/>
      <c r="M45" s="3"/>
      <c r="N45" s="3"/>
      <c r="O45" s="3"/>
      <c r="P45" s="3"/>
      <c r="Q45" s="3"/>
      <c r="R45" s="3"/>
      <c r="S45" s="3"/>
      <c r="T45" s="3"/>
      <c r="U45" s="3"/>
      <c r="V45" s="3"/>
      <c r="W45" s="3"/>
      <c r="X45" s="3"/>
      <c r="Y45" s="3"/>
    </row>
    <row r="46" spans="1:25" ht="15.75" customHeight="1" x14ac:dyDescent="0.15">
      <c r="A46" s="3"/>
      <c r="B46" s="3"/>
      <c r="C46" s="3"/>
      <c r="D46" s="3"/>
      <c r="E46" s="3"/>
      <c r="F46" s="3"/>
      <c r="G46" s="3"/>
      <c r="H46" s="3"/>
      <c r="I46" s="3"/>
      <c r="J46" s="3"/>
      <c r="K46" s="3"/>
      <c r="L46" s="3"/>
      <c r="M46" s="3"/>
      <c r="N46" s="3"/>
      <c r="O46" s="3"/>
      <c r="P46" s="3"/>
      <c r="Q46" s="3"/>
      <c r="R46" s="3"/>
      <c r="S46" s="3"/>
      <c r="T46" s="3"/>
      <c r="U46" s="3"/>
      <c r="V46" s="3"/>
      <c r="W46" s="3"/>
      <c r="X46" s="3"/>
      <c r="Y46" s="3"/>
    </row>
    <row r="47" spans="1:25" ht="15.75" customHeight="1" x14ac:dyDescent="0.15">
      <c r="A47" s="3"/>
      <c r="B47" s="3"/>
      <c r="C47" s="3"/>
      <c r="D47" s="3"/>
      <c r="E47" s="3"/>
      <c r="F47" s="3"/>
      <c r="G47" s="3"/>
      <c r="H47" s="3"/>
      <c r="I47" s="3"/>
      <c r="J47" s="3"/>
      <c r="K47" s="3"/>
      <c r="L47" s="3"/>
      <c r="M47" s="3"/>
      <c r="N47" s="3"/>
      <c r="O47" s="3"/>
      <c r="P47" s="3"/>
      <c r="Q47" s="3"/>
      <c r="R47" s="3"/>
      <c r="S47" s="3"/>
      <c r="T47" s="3"/>
      <c r="U47" s="3"/>
      <c r="V47" s="3"/>
      <c r="W47" s="3"/>
      <c r="X47" s="3"/>
      <c r="Y47" s="3"/>
    </row>
    <row r="48" spans="1:25" ht="15.75" customHeight="1" x14ac:dyDescent="0.15">
      <c r="A48" s="3"/>
      <c r="B48" s="3"/>
      <c r="C48" s="3"/>
      <c r="D48" s="3"/>
      <c r="E48" s="3"/>
      <c r="F48" s="3"/>
      <c r="G48" s="3"/>
      <c r="H48" s="3"/>
      <c r="I48" s="3"/>
      <c r="J48" s="3"/>
      <c r="K48" s="3"/>
      <c r="L48" s="3"/>
      <c r="M48" s="3"/>
      <c r="N48" s="3"/>
      <c r="O48" s="3"/>
      <c r="P48" s="3"/>
      <c r="Q48" s="3"/>
      <c r="R48" s="3"/>
      <c r="S48" s="3"/>
      <c r="T48" s="3"/>
      <c r="U48" s="3"/>
      <c r="V48" s="3"/>
      <c r="W48" s="3"/>
      <c r="X48" s="3"/>
      <c r="Y48" s="3"/>
    </row>
    <row r="49" spans="1:25" ht="15.75" customHeight="1" x14ac:dyDescent="0.15">
      <c r="A49" s="3"/>
      <c r="B49" s="3"/>
      <c r="C49" s="3"/>
      <c r="D49" s="3"/>
      <c r="E49" s="3"/>
      <c r="F49" s="3"/>
      <c r="G49" s="3"/>
      <c r="H49" s="3"/>
      <c r="I49" s="3"/>
      <c r="J49" s="3"/>
      <c r="K49" s="3"/>
      <c r="L49" s="3"/>
      <c r="M49" s="3"/>
      <c r="N49" s="3"/>
      <c r="O49" s="3"/>
      <c r="P49" s="3"/>
      <c r="Q49" s="3"/>
      <c r="R49" s="3"/>
      <c r="S49" s="3"/>
      <c r="T49" s="3"/>
      <c r="U49" s="3"/>
      <c r="V49" s="3"/>
      <c r="W49" s="3"/>
      <c r="X49" s="3"/>
      <c r="Y49" s="3"/>
    </row>
    <row r="50" spans="1:25" ht="15.75" customHeight="1" x14ac:dyDescent="0.15">
      <c r="A50" s="3"/>
      <c r="B50" s="3"/>
      <c r="C50" s="3"/>
      <c r="D50" s="3"/>
      <c r="E50" s="3"/>
      <c r="F50" s="3"/>
      <c r="G50" s="3"/>
      <c r="H50" s="3"/>
      <c r="I50" s="3"/>
      <c r="J50" s="3"/>
      <c r="K50" s="3"/>
      <c r="L50" s="3"/>
      <c r="M50" s="3"/>
      <c r="N50" s="3"/>
      <c r="O50" s="3"/>
      <c r="P50" s="3"/>
      <c r="Q50" s="3"/>
      <c r="R50" s="3"/>
      <c r="S50" s="3"/>
      <c r="T50" s="3"/>
      <c r="U50" s="3"/>
      <c r="V50" s="3"/>
      <c r="W50" s="3"/>
      <c r="X50" s="3"/>
      <c r="Y50" s="3"/>
    </row>
    <row r="51" spans="1:25" ht="15.75" customHeight="1" x14ac:dyDescent="0.15">
      <c r="A51" s="3"/>
      <c r="B51" s="3"/>
      <c r="C51" s="3"/>
      <c r="D51" s="3"/>
      <c r="E51" s="3"/>
      <c r="F51" s="3"/>
      <c r="G51" s="3"/>
      <c r="H51" s="3"/>
      <c r="I51" s="3"/>
      <c r="J51" s="3"/>
      <c r="K51" s="3"/>
      <c r="L51" s="3"/>
      <c r="M51" s="3"/>
      <c r="N51" s="3"/>
      <c r="O51" s="3"/>
      <c r="P51" s="3"/>
      <c r="Q51" s="3"/>
      <c r="R51" s="3"/>
      <c r="S51" s="3"/>
      <c r="T51" s="3"/>
      <c r="U51" s="3"/>
      <c r="V51" s="3"/>
      <c r="W51" s="3"/>
      <c r="X51" s="3"/>
      <c r="Y51" s="3"/>
    </row>
    <row r="52" spans="1:25" ht="15.75" customHeight="1" x14ac:dyDescent="0.15">
      <c r="A52" s="3"/>
      <c r="B52" s="3"/>
      <c r="C52" s="3"/>
      <c r="D52" s="3"/>
      <c r="E52" s="3"/>
      <c r="F52" s="3"/>
      <c r="G52" s="3"/>
      <c r="H52" s="3"/>
      <c r="I52" s="3"/>
      <c r="J52" s="3"/>
      <c r="K52" s="3"/>
      <c r="L52" s="3"/>
      <c r="M52" s="3"/>
      <c r="N52" s="3"/>
      <c r="O52" s="3"/>
      <c r="P52" s="3"/>
      <c r="Q52" s="3"/>
      <c r="R52" s="3"/>
      <c r="S52" s="3"/>
      <c r="T52" s="3"/>
      <c r="U52" s="3"/>
      <c r="V52" s="3"/>
      <c r="W52" s="3"/>
      <c r="X52" s="3"/>
      <c r="Y52" s="3"/>
    </row>
    <row r="53" spans="1:25" ht="15.75" customHeight="1" x14ac:dyDescent="0.15">
      <c r="A53" s="3"/>
      <c r="B53" s="3"/>
      <c r="C53" s="3"/>
      <c r="D53" s="3"/>
      <c r="E53" s="3"/>
      <c r="F53" s="3"/>
      <c r="G53" s="3"/>
      <c r="H53" s="3"/>
      <c r="I53" s="3"/>
      <c r="J53" s="3"/>
      <c r="K53" s="3"/>
      <c r="L53" s="3"/>
      <c r="M53" s="3"/>
      <c r="N53" s="3"/>
      <c r="O53" s="3"/>
      <c r="P53" s="3"/>
      <c r="Q53" s="3"/>
      <c r="R53" s="3"/>
      <c r="S53" s="3"/>
      <c r="T53" s="3"/>
      <c r="U53" s="3"/>
      <c r="V53" s="3"/>
      <c r="W53" s="3"/>
      <c r="X53" s="3"/>
      <c r="Y53" s="3"/>
    </row>
    <row r="54" spans="1:25" ht="15.75" customHeight="1" x14ac:dyDescent="0.15">
      <c r="A54" s="3"/>
      <c r="B54" s="3"/>
      <c r="C54" s="3"/>
      <c r="D54" s="3"/>
      <c r="E54" s="3"/>
      <c r="F54" s="3"/>
      <c r="G54" s="3"/>
      <c r="H54" s="3"/>
      <c r="I54" s="3"/>
      <c r="J54" s="3"/>
      <c r="K54" s="3"/>
      <c r="L54" s="3"/>
      <c r="M54" s="3"/>
      <c r="N54" s="3"/>
      <c r="O54" s="3"/>
      <c r="P54" s="3"/>
      <c r="Q54" s="3"/>
      <c r="R54" s="3"/>
      <c r="S54" s="3"/>
      <c r="T54" s="3"/>
      <c r="U54" s="3"/>
      <c r="V54" s="3"/>
      <c r="W54" s="3"/>
      <c r="X54" s="3"/>
      <c r="Y54" s="3"/>
    </row>
    <row r="55" spans="1:25" ht="15.75" customHeight="1" x14ac:dyDescent="0.15">
      <c r="A55" s="3"/>
      <c r="B55" s="3"/>
      <c r="C55" s="3"/>
      <c r="D55" s="3"/>
      <c r="E55" s="3"/>
      <c r="F55" s="3"/>
      <c r="G55" s="3"/>
      <c r="H55" s="3"/>
      <c r="I55" s="3"/>
      <c r="J55" s="3"/>
      <c r="K55" s="3"/>
      <c r="L55" s="3"/>
      <c r="M55" s="3"/>
      <c r="N55" s="3"/>
      <c r="O55" s="3"/>
      <c r="P55" s="3"/>
      <c r="Q55" s="3"/>
      <c r="R55" s="3"/>
      <c r="S55" s="3"/>
      <c r="T55" s="3"/>
      <c r="U55" s="3"/>
      <c r="V55" s="3"/>
      <c r="W55" s="3"/>
      <c r="X55" s="3"/>
      <c r="Y55" s="3"/>
    </row>
    <row r="56" spans="1:25" ht="15.75" customHeight="1" x14ac:dyDescent="0.15">
      <c r="A56" s="3"/>
      <c r="B56" s="3"/>
      <c r="C56" s="3"/>
      <c r="D56" s="3"/>
      <c r="E56" s="3"/>
      <c r="F56" s="3"/>
      <c r="G56" s="3"/>
      <c r="H56" s="3"/>
      <c r="I56" s="3"/>
      <c r="J56" s="3"/>
      <c r="K56" s="3"/>
      <c r="L56" s="3"/>
      <c r="M56" s="3"/>
      <c r="N56" s="3"/>
      <c r="O56" s="3"/>
      <c r="P56" s="3"/>
      <c r="Q56" s="3"/>
      <c r="R56" s="3"/>
      <c r="S56" s="3"/>
      <c r="T56" s="3"/>
      <c r="U56" s="3"/>
      <c r="V56" s="3"/>
      <c r="W56" s="3"/>
      <c r="X56" s="3"/>
      <c r="Y56" s="3"/>
    </row>
    <row r="57" spans="1:25" ht="15.75" customHeight="1" x14ac:dyDescent="0.15">
      <c r="A57" s="3"/>
      <c r="B57" s="3"/>
      <c r="C57" s="3"/>
      <c r="D57" s="3"/>
      <c r="E57" s="3"/>
      <c r="F57" s="3"/>
      <c r="G57" s="3"/>
      <c r="H57" s="3"/>
      <c r="I57" s="3"/>
      <c r="J57" s="3"/>
      <c r="K57" s="3"/>
      <c r="L57" s="3"/>
      <c r="M57" s="3"/>
      <c r="N57" s="3"/>
      <c r="O57" s="3"/>
      <c r="P57" s="3"/>
      <c r="Q57" s="3"/>
      <c r="R57" s="3"/>
      <c r="S57" s="3"/>
      <c r="T57" s="3"/>
      <c r="U57" s="3"/>
      <c r="V57" s="3"/>
      <c r="W57" s="3"/>
      <c r="X57" s="3"/>
      <c r="Y57" s="3"/>
    </row>
    <row r="58" spans="1:25" ht="15.75" customHeight="1" x14ac:dyDescent="0.15">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x14ac:dyDescent="0.15">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x14ac:dyDescent="0.15">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x14ac:dyDescent="0.15">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x14ac:dyDescent="0.15">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x14ac:dyDescent="0.15">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x14ac:dyDescent="0.15">
      <c r="A64" s="3"/>
      <c r="B64" s="3"/>
      <c r="C64" s="3"/>
      <c r="D64" s="3"/>
      <c r="E64" s="3"/>
      <c r="F64" s="3"/>
      <c r="G64" s="3"/>
      <c r="H64" s="3"/>
      <c r="I64" s="3"/>
      <c r="J64" s="3"/>
      <c r="K64" s="3"/>
      <c r="L64" s="3"/>
      <c r="M64" s="3"/>
      <c r="N64" s="3"/>
      <c r="O64" s="3"/>
      <c r="P64" s="3"/>
      <c r="Q64" s="3"/>
      <c r="R64" s="3"/>
      <c r="S64" s="3"/>
      <c r="T64" s="3"/>
      <c r="U64" s="3"/>
      <c r="V64" s="3"/>
      <c r="W64" s="3"/>
      <c r="X64" s="3"/>
      <c r="Y64" s="3"/>
    </row>
    <row r="65" spans="1:25" ht="15.75" customHeight="1" x14ac:dyDescent="0.15">
      <c r="A65" s="3"/>
      <c r="B65" s="3"/>
      <c r="C65" s="3"/>
      <c r="D65" s="3"/>
      <c r="E65" s="3"/>
      <c r="F65" s="3"/>
      <c r="G65" s="3"/>
      <c r="H65" s="3"/>
      <c r="I65" s="3"/>
      <c r="J65" s="3"/>
      <c r="K65" s="3"/>
      <c r="L65" s="3"/>
      <c r="M65" s="3"/>
      <c r="N65" s="3"/>
      <c r="O65" s="3"/>
      <c r="P65" s="3"/>
      <c r="Q65" s="3"/>
      <c r="R65" s="3"/>
      <c r="S65" s="3"/>
      <c r="T65" s="3"/>
      <c r="U65" s="3"/>
      <c r="V65" s="3"/>
      <c r="W65" s="3"/>
      <c r="X65" s="3"/>
      <c r="Y65" s="3"/>
    </row>
    <row r="66" spans="1:25" ht="15.75" customHeight="1" x14ac:dyDescent="0.15">
      <c r="A66" s="3"/>
      <c r="B66" s="3"/>
      <c r="C66" s="3"/>
      <c r="D66" s="3"/>
      <c r="E66" s="3"/>
      <c r="F66" s="3"/>
      <c r="G66" s="3"/>
      <c r="H66" s="3"/>
      <c r="I66" s="3"/>
      <c r="J66" s="3"/>
      <c r="K66" s="3"/>
      <c r="L66" s="3"/>
      <c r="M66" s="3"/>
      <c r="N66" s="3"/>
      <c r="O66" s="3"/>
      <c r="P66" s="3"/>
      <c r="Q66" s="3"/>
      <c r="R66" s="3"/>
      <c r="S66" s="3"/>
      <c r="T66" s="3"/>
      <c r="U66" s="3"/>
      <c r="V66" s="3"/>
      <c r="W66" s="3"/>
      <c r="X66" s="3"/>
      <c r="Y66" s="3"/>
    </row>
    <row r="67" spans="1:25" ht="15.75" customHeight="1" x14ac:dyDescent="0.15">
      <c r="A67" s="3"/>
      <c r="B67" s="3"/>
      <c r="C67" s="3"/>
      <c r="D67" s="3"/>
      <c r="E67" s="3"/>
      <c r="F67" s="3"/>
      <c r="G67" s="3"/>
      <c r="H67" s="3"/>
      <c r="I67" s="3"/>
      <c r="J67" s="3"/>
      <c r="K67" s="3"/>
      <c r="L67" s="3"/>
      <c r="M67" s="3"/>
      <c r="N67" s="3"/>
      <c r="O67" s="3"/>
      <c r="P67" s="3"/>
      <c r="Q67" s="3"/>
      <c r="R67" s="3"/>
      <c r="S67" s="3"/>
      <c r="T67" s="3"/>
      <c r="U67" s="3"/>
      <c r="V67" s="3"/>
      <c r="W67" s="3"/>
      <c r="X67" s="3"/>
      <c r="Y67" s="3"/>
    </row>
    <row r="68" spans="1:25" ht="15.75" customHeight="1" x14ac:dyDescent="0.15">
      <c r="A68" s="3"/>
      <c r="B68" s="3"/>
      <c r="C68" s="3"/>
      <c r="D68" s="3"/>
      <c r="E68" s="3"/>
      <c r="F68" s="3"/>
      <c r="G68" s="3"/>
      <c r="H68" s="3"/>
      <c r="I68" s="3"/>
      <c r="J68" s="3"/>
      <c r="K68" s="3"/>
      <c r="L68" s="3"/>
      <c r="M68" s="3"/>
      <c r="N68" s="3"/>
      <c r="O68" s="3"/>
      <c r="P68" s="3"/>
      <c r="Q68" s="3"/>
      <c r="R68" s="3"/>
      <c r="S68" s="3"/>
      <c r="T68" s="3"/>
      <c r="U68" s="3"/>
      <c r="V68" s="3"/>
      <c r="W68" s="3"/>
      <c r="X68" s="3"/>
      <c r="Y68" s="3"/>
    </row>
    <row r="69" spans="1:25" ht="15.75" customHeight="1" x14ac:dyDescent="0.15">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x14ac:dyDescent="0.15">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x14ac:dyDescent="0.15">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x14ac:dyDescent="0.15">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x14ac:dyDescent="0.15">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x14ac:dyDescent="0.15">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x14ac:dyDescent="0.15">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x14ac:dyDescent="0.15">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x14ac:dyDescent="0.15">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x14ac:dyDescent="0.15">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x14ac:dyDescent="0.15">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x14ac:dyDescent="0.15">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x14ac:dyDescent="0.15">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x14ac:dyDescent="0.15">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x14ac:dyDescent="0.15">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x14ac:dyDescent="0.15">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x14ac:dyDescent="0.15">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x14ac:dyDescent="0.15">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x14ac:dyDescent="0.15">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x14ac:dyDescent="0.15">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x14ac:dyDescent="0.15">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x14ac:dyDescent="0.15">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x14ac:dyDescent="0.15">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x14ac:dyDescent="0.15">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x14ac:dyDescent="0.15">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x14ac:dyDescent="0.15">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x14ac:dyDescent="0.15">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x14ac:dyDescent="0.15">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x14ac:dyDescent="0.15">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x14ac:dyDescent="0.15">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x14ac:dyDescent="0.15">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x14ac:dyDescent="0.1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x14ac:dyDescent="0.1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x14ac:dyDescent="0.1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x14ac:dyDescent="0.1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x14ac:dyDescent="0.1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x14ac:dyDescent="0.1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x14ac:dyDescent="0.1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x14ac:dyDescent="0.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x14ac:dyDescent="0.1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x14ac:dyDescent="0.1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x14ac:dyDescent="0.1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x14ac:dyDescent="0.1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x14ac:dyDescent="0.1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x14ac:dyDescent="0.1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x14ac:dyDescent="0.1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x14ac:dyDescent="0.1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x14ac:dyDescent="0.1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x14ac:dyDescent="0.1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x14ac:dyDescent="0.1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x14ac:dyDescent="0.1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x14ac:dyDescent="0.1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x14ac:dyDescent="0.1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x14ac:dyDescent="0.1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x14ac:dyDescent="0.1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x14ac:dyDescent="0.1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x14ac:dyDescent="0.1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x14ac:dyDescent="0.1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x14ac:dyDescent="0.1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x14ac:dyDescent="0.1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x14ac:dyDescent="0.1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x14ac:dyDescent="0.1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x14ac:dyDescent="0.1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x14ac:dyDescent="0.1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x14ac:dyDescent="0.1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x14ac:dyDescent="0.1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x14ac:dyDescent="0.1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x14ac:dyDescent="0.1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x14ac:dyDescent="0.1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x14ac:dyDescent="0.1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x14ac:dyDescent="0.1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x14ac:dyDescent="0.1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x14ac:dyDescent="0.1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x14ac:dyDescent="0.1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x14ac:dyDescent="0.1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x14ac:dyDescent="0.1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x14ac:dyDescent="0.1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x14ac:dyDescent="0.1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x14ac:dyDescent="0.1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x14ac:dyDescent="0.1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x14ac:dyDescent="0.1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x14ac:dyDescent="0.1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x14ac:dyDescent="0.1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x14ac:dyDescent="0.1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x14ac:dyDescent="0.1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x14ac:dyDescent="0.1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x14ac:dyDescent="0.1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x14ac:dyDescent="0.1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x14ac:dyDescent="0.1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x14ac:dyDescent="0.1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x14ac:dyDescent="0.1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x14ac:dyDescent="0.1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x14ac:dyDescent="0.1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x14ac:dyDescent="0.1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x14ac:dyDescent="0.1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x14ac:dyDescent="0.1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x14ac:dyDescent="0.1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x14ac:dyDescent="0.1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x14ac:dyDescent="0.1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x14ac:dyDescent="0.1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x14ac:dyDescent="0.1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x14ac:dyDescent="0.1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x14ac:dyDescent="0.1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x14ac:dyDescent="0.1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x14ac:dyDescent="0.1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x14ac:dyDescent="0.1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x14ac:dyDescent="0.1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x14ac:dyDescent="0.1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x14ac:dyDescent="0.1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x14ac:dyDescent="0.1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x14ac:dyDescent="0.1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x14ac:dyDescent="0.1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x14ac:dyDescent="0.1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x14ac:dyDescent="0.1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x14ac:dyDescent="0.1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x14ac:dyDescent="0.1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x14ac:dyDescent="0.1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x14ac:dyDescent="0.1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x14ac:dyDescent="0.1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x14ac:dyDescent="0.1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x14ac:dyDescent="0.1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x14ac:dyDescent="0.1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x14ac:dyDescent="0.1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x14ac:dyDescent="0.1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x14ac:dyDescent="0.1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x14ac:dyDescent="0.1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x14ac:dyDescent="0.1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x14ac:dyDescent="0.1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x14ac:dyDescent="0.1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x14ac:dyDescent="0.1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x14ac:dyDescent="0.1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x14ac:dyDescent="0.1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x14ac:dyDescent="0.1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x14ac:dyDescent="0.1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x14ac:dyDescent="0.1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x14ac:dyDescent="0.1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x14ac:dyDescent="0.1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x14ac:dyDescent="0.1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x14ac:dyDescent="0.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x14ac:dyDescent="0.1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x14ac:dyDescent="0.1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x14ac:dyDescent="0.1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x14ac:dyDescent="0.1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x14ac:dyDescent="0.1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x14ac:dyDescent="0.15">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x14ac:dyDescent="0.15">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x14ac:dyDescent="0.15">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x14ac:dyDescent="0.15">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x14ac:dyDescent="0.1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x14ac:dyDescent="0.15">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x14ac:dyDescent="0.15">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x14ac:dyDescent="0.15">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x14ac:dyDescent="0.15">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x14ac:dyDescent="0.15">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x14ac:dyDescent="0.15">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x14ac:dyDescent="0.15">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x14ac:dyDescent="0.15">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x14ac:dyDescent="0.15">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x14ac:dyDescent="0.1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x14ac:dyDescent="0.15">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x14ac:dyDescent="0.15">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x14ac:dyDescent="0.15">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x14ac:dyDescent="0.15">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x14ac:dyDescent="0.15">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x14ac:dyDescent="0.15">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x14ac:dyDescent="0.15">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x14ac:dyDescent="0.15">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x14ac:dyDescent="0.15">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x14ac:dyDescent="0.1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x14ac:dyDescent="0.15">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x14ac:dyDescent="0.15">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x14ac:dyDescent="0.15">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x14ac:dyDescent="0.15">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x14ac:dyDescent="0.15">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x14ac:dyDescent="0.15">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x14ac:dyDescent="0.15">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x14ac:dyDescent="0.15">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x14ac:dyDescent="0.15">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x14ac:dyDescent="0.1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x14ac:dyDescent="0.15">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x14ac:dyDescent="0.15">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x14ac:dyDescent="0.15">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x14ac:dyDescent="0.15">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x14ac:dyDescent="0.15">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x14ac:dyDescent="0.15">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x14ac:dyDescent="0.15">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x14ac:dyDescent="0.15">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x14ac:dyDescent="0.15">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x14ac:dyDescent="0.1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x14ac:dyDescent="0.15">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5.75" customHeight="1" x14ac:dyDescent="0.15">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5.75" customHeight="1" x14ac:dyDescent="0.15">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5.75" customHeight="1" x14ac:dyDescent="0.15">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5.75" customHeight="1" x14ac:dyDescent="0.15">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5.75" customHeight="1" x14ac:dyDescent="0.15">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5.75" customHeight="1" x14ac:dyDescent="0.15">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5.75" customHeight="1" x14ac:dyDescent="0.15">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5.75" customHeight="1" x14ac:dyDescent="0.15">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5.75" customHeight="1" x14ac:dyDescent="0.1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5.75" customHeight="1" x14ac:dyDescent="0.15">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5.75" customHeight="1" x14ac:dyDescent="0.15">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5.75" customHeight="1" x14ac:dyDescent="0.15">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5.75" customHeight="1" x14ac:dyDescent="0.15">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5.75" customHeight="1" x14ac:dyDescent="0.15">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5.75" customHeight="1" x14ac:dyDescent="0.15">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5.75" customHeight="1" x14ac:dyDescent="0.15">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5.75" customHeight="1" x14ac:dyDescent="0.15">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5.75" customHeight="1" x14ac:dyDescent="0.15">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5.75" customHeight="1" x14ac:dyDescent="0.1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5.75" customHeight="1" x14ac:dyDescent="0.15">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5.75" customHeight="1" x14ac:dyDescent="0.15">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5.75" customHeight="1" x14ac:dyDescent="0.15">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5.75" customHeight="1" x14ac:dyDescent="0.15">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5.75" customHeight="1" x14ac:dyDescent="0.15">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5.75" customHeight="1" x14ac:dyDescent="0.15">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5.75" customHeight="1" x14ac:dyDescent="0.15">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5.75" customHeight="1" x14ac:dyDescent="0.15">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5.75" customHeight="1" x14ac:dyDescent="0.15">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5.75" customHeight="1" x14ac:dyDescent="0.1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5.75" customHeight="1" x14ac:dyDescent="0.15">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5.75" customHeight="1" x14ac:dyDescent="0.15">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5.75" customHeight="1" x14ac:dyDescent="0.15">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5.75" customHeight="1" x14ac:dyDescent="0.15">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5.75" customHeight="1" x14ac:dyDescent="0.15">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5.75" customHeight="1" x14ac:dyDescent="0.15">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5.75" customHeight="1" x14ac:dyDescent="0.15">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5.75" customHeight="1" x14ac:dyDescent="0.15">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5.75" customHeight="1" x14ac:dyDescent="0.15">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5.75" customHeight="1" x14ac:dyDescent="0.1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5.75" customHeight="1" x14ac:dyDescent="0.15">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5.75" customHeight="1" x14ac:dyDescent="0.15">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5.75" customHeight="1" x14ac:dyDescent="0.15">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5.75" customHeight="1" x14ac:dyDescent="0.15">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5.75" customHeight="1" x14ac:dyDescent="0.15">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5.75" customHeight="1" x14ac:dyDescent="0.15">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5.75" customHeight="1" x14ac:dyDescent="0.15">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5.75" customHeight="1" x14ac:dyDescent="0.15">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5.75" customHeight="1" x14ac:dyDescent="0.15">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5.75" customHeight="1" x14ac:dyDescent="0.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5.75" customHeight="1" x14ac:dyDescent="0.15">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5.75" customHeight="1" x14ac:dyDescent="0.15">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5.75" customHeight="1" x14ac:dyDescent="0.1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5.75" customHeight="1" x14ac:dyDescent="0.1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5.75" customHeight="1" x14ac:dyDescent="0.15">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5.75" customHeight="1" x14ac:dyDescent="0.15">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5.75" customHeight="1" x14ac:dyDescent="0.15">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5.75" customHeight="1" x14ac:dyDescent="0.15">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5.75" customHeight="1" x14ac:dyDescent="0.15">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5.75" customHeight="1" x14ac:dyDescent="0.1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5.75" customHeight="1" x14ac:dyDescent="0.15">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5.75" customHeight="1" x14ac:dyDescent="0.15">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5.75" customHeight="1" x14ac:dyDescent="0.15">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5.75" customHeight="1" x14ac:dyDescent="0.15">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5.75" customHeight="1" x14ac:dyDescent="0.15">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5.75" customHeight="1" x14ac:dyDescent="0.15">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5.75" customHeight="1" x14ac:dyDescent="0.15">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5.75" customHeight="1" x14ac:dyDescent="0.15">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5.75" customHeight="1" x14ac:dyDescent="0.15">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5.75" customHeight="1" x14ac:dyDescent="0.1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5.75" customHeight="1" x14ac:dyDescent="0.15">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5.75" customHeight="1" x14ac:dyDescent="0.15">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5.75" customHeight="1" x14ac:dyDescent="0.15">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5.75" customHeight="1" x14ac:dyDescent="0.15">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5.75" customHeight="1" x14ac:dyDescent="0.15">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5.75" customHeight="1" x14ac:dyDescent="0.15">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5.75" customHeight="1" x14ac:dyDescent="0.15">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5.75" customHeight="1" x14ac:dyDescent="0.15">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5.75" customHeight="1" x14ac:dyDescent="0.15">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5.75" customHeight="1" x14ac:dyDescent="0.1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5.75" customHeight="1" x14ac:dyDescent="0.15">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5.75" customHeight="1" x14ac:dyDescent="0.15">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5.75" customHeight="1" x14ac:dyDescent="0.15">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5.75" customHeight="1" x14ac:dyDescent="0.15">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5.75" customHeight="1" x14ac:dyDescent="0.15">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5.75" customHeight="1" x14ac:dyDescent="0.15">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5.75" customHeight="1" x14ac:dyDescent="0.15">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5.75" customHeight="1" x14ac:dyDescent="0.15">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5.75" customHeight="1" x14ac:dyDescent="0.15">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5.75" customHeight="1" x14ac:dyDescent="0.1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5.75" customHeight="1" x14ac:dyDescent="0.15">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5.75" customHeight="1" x14ac:dyDescent="0.15">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5.75" customHeight="1" x14ac:dyDescent="0.15">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5.75" customHeight="1" x14ac:dyDescent="0.15">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5.75" customHeight="1" x14ac:dyDescent="0.15">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5.75" customHeight="1" x14ac:dyDescent="0.15">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5.75" customHeight="1" x14ac:dyDescent="0.15">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5.75" customHeight="1" x14ac:dyDescent="0.15">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5.75" customHeight="1" x14ac:dyDescent="0.15">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5.75" customHeight="1" x14ac:dyDescent="0.1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5.75" customHeight="1" x14ac:dyDescent="0.15">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5.75" customHeight="1" x14ac:dyDescent="0.15">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5.75" customHeight="1" x14ac:dyDescent="0.15">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5.75" customHeight="1" x14ac:dyDescent="0.15">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5.75" customHeight="1" x14ac:dyDescent="0.15">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5.75" customHeight="1" x14ac:dyDescent="0.15">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5.75" customHeight="1" x14ac:dyDescent="0.15">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5.75" customHeight="1" x14ac:dyDescent="0.15">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5.75" customHeight="1" x14ac:dyDescent="0.15">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5.75" customHeight="1" x14ac:dyDescent="0.1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5.75" customHeight="1" x14ac:dyDescent="0.15">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5.75" customHeight="1" x14ac:dyDescent="0.15">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5.75" customHeight="1" x14ac:dyDescent="0.15">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5.75" customHeight="1" x14ac:dyDescent="0.15">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5.75" customHeight="1" x14ac:dyDescent="0.15">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5.75" customHeight="1" x14ac:dyDescent="0.15">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5.75" customHeight="1" x14ac:dyDescent="0.15">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5.75" customHeight="1" x14ac:dyDescent="0.15">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5.75" customHeight="1" x14ac:dyDescent="0.15">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5.75" customHeight="1" x14ac:dyDescent="0.1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5.75" customHeight="1" x14ac:dyDescent="0.15">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5.75" customHeight="1" x14ac:dyDescent="0.15">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5.75" customHeight="1" x14ac:dyDescent="0.15">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5.75" customHeight="1" x14ac:dyDescent="0.15">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5.75" customHeight="1" x14ac:dyDescent="0.15">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5.75" customHeight="1" x14ac:dyDescent="0.15">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5.75" customHeight="1" x14ac:dyDescent="0.15">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5.75" customHeight="1" x14ac:dyDescent="0.15">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5.75" customHeight="1" x14ac:dyDescent="0.15">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5.75" customHeight="1" x14ac:dyDescent="0.1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5.75" customHeight="1" x14ac:dyDescent="0.15">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5.75" customHeight="1" x14ac:dyDescent="0.15">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5.75" customHeight="1" x14ac:dyDescent="0.15">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5.75" customHeight="1" x14ac:dyDescent="0.15">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5.75" customHeight="1" x14ac:dyDescent="0.15">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5.75" customHeight="1" x14ac:dyDescent="0.15">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5.75" customHeight="1" x14ac:dyDescent="0.15">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5.75" customHeight="1" x14ac:dyDescent="0.15">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5.75" customHeight="1" x14ac:dyDescent="0.15">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5.75" customHeight="1" x14ac:dyDescent="0.1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5.75" customHeight="1" x14ac:dyDescent="0.15">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5.75" customHeight="1" x14ac:dyDescent="0.15">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5.75" customHeight="1" x14ac:dyDescent="0.15">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5.75" customHeight="1" x14ac:dyDescent="0.15">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5.75" customHeight="1" x14ac:dyDescent="0.15">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5.75" customHeight="1" x14ac:dyDescent="0.15">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5.75" customHeight="1" x14ac:dyDescent="0.15">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5.75" customHeight="1" x14ac:dyDescent="0.15">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5.75" customHeight="1" x14ac:dyDescent="0.15">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5.75" customHeight="1" x14ac:dyDescent="0.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5.75" customHeight="1" x14ac:dyDescent="0.15">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5.75" customHeight="1" x14ac:dyDescent="0.15">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5.75" customHeight="1" x14ac:dyDescent="0.15">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5.75" customHeight="1" x14ac:dyDescent="0.15">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5.75" customHeight="1" x14ac:dyDescent="0.15">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5.75" customHeight="1" x14ac:dyDescent="0.15">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5.75" customHeight="1" x14ac:dyDescent="0.15">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5.75" customHeight="1" x14ac:dyDescent="0.15">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5.75" customHeight="1" x14ac:dyDescent="0.15">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5.75" customHeight="1" x14ac:dyDescent="0.1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5.75" customHeight="1" x14ac:dyDescent="0.15">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5.75" customHeight="1" x14ac:dyDescent="0.15">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5.75" customHeight="1" x14ac:dyDescent="0.15">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5.75" customHeight="1" x14ac:dyDescent="0.15">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5.75" customHeight="1" x14ac:dyDescent="0.15">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5.75" customHeight="1" x14ac:dyDescent="0.15">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5.75" customHeight="1" x14ac:dyDescent="0.15">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5.75" customHeight="1" x14ac:dyDescent="0.15">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5.75" customHeight="1" x14ac:dyDescent="0.15">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5.75" customHeight="1" x14ac:dyDescent="0.1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5.75" customHeight="1" x14ac:dyDescent="0.15">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5.75" customHeight="1" x14ac:dyDescent="0.15">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5.75" customHeight="1" x14ac:dyDescent="0.15">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5.75" customHeight="1" x14ac:dyDescent="0.15">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5.75" customHeight="1" x14ac:dyDescent="0.15">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5.75" customHeight="1" x14ac:dyDescent="0.15">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5.75" customHeight="1" x14ac:dyDescent="0.15">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5.75" customHeight="1" x14ac:dyDescent="0.15">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5.75" customHeight="1" x14ac:dyDescent="0.15">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5.75" customHeight="1" x14ac:dyDescent="0.1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5.75" customHeight="1" x14ac:dyDescent="0.15">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5.75" customHeight="1" x14ac:dyDescent="0.15">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5.75" customHeight="1" x14ac:dyDescent="0.15">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5.75" customHeight="1" x14ac:dyDescent="0.15">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5.75" customHeight="1" x14ac:dyDescent="0.15">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5.75" customHeight="1" x14ac:dyDescent="0.15">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5.75" customHeight="1" x14ac:dyDescent="0.15">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5.75" customHeight="1" x14ac:dyDescent="0.15">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5.75" customHeight="1" x14ac:dyDescent="0.15">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5.75" customHeight="1" x14ac:dyDescent="0.1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5.75" customHeight="1" x14ac:dyDescent="0.15">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5.75" customHeight="1" x14ac:dyDescent="0.15">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5.75" customHeight="1" x14ac:dyDescent="0.15">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5.75" customHeight="1" x14ac:dyDescent="0.15">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5.75" customHeight="1" x14ac:dyDescent="0.15">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5.75" customHeight="1" x14ac:dyDescent="0.15">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5.75" customHeight="1" x14ac:dyDescent="0.15">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5.75" customHeight="1" x14ac:dyDescent="0.15">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5.75" customHeight="1" x14ac:dyDescent="0.15">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5.75" customHeight="1" x14ac:dyDescent="0.1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5.75" customHeight="1" x14ac:dyDescent="0.15">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5.75" customHeight="1" x14ac:dyDescent="0.15">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5.75" customHeight="1" x14ac:dyDescent="0.15">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5.75" customHeight="1" x14ac:dyDescent="0.15">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5.75" customHeight="1" x14ac:dyDescent="0.15">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5.75" customHeight="1" x14ac:dyDescent="0.15">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5.75" customHeight="1" x14ac:dyDescent="0.15">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5.75" customHeight="1" x14ac:dyDescent="0.15">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5.75" customHeight="1" x14ac:dyDescent="0.15">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5.75" customHeight="1" x14ac:dyDescent="0.1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5.75" customHeight="1" x14ac:dyDescent="0.15">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5.75" customHeight="1" x14ac:dyDescent="0.15">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5.75" customHeight="1" x14ac:dyDescent="0.15">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5.75" customHeight="1" x14ac:dyDescent="0.15">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5.75" customHeight="1" x14ac:dyDescent="0.15">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5.75" customHeight="1" x14ac:dyDescent="0.15">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5.75" customHeight="1" x14ac:dyDescent="0.15">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5.75" customHeight="1" x14ac:dyDescent="0.15">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5.75" customHeight="1" x14ac:dyDescent="0.15">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5.75" customHeight="1" x14ac:dyDescent="0.1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5.75" customHeight="1" x14ac:dyDescent="0.15">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5.75" customHeight="1" x14ac:dyDescent="0.15">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5.75" customHeight="1" x14ac:dyDescent="0.15">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5.75" customHeight="1" x14ac:dyDescent="0.15">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5.75" customHeight="1" x14ac:dyDescent="0.15">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5.75" customHeight="1" x14ac:dyDescent="0.15">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5.75" customHeight="1" x14ac:dyDescent="0.15">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5.75" customHeight="1" x14ac:dyDescent="0.15">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5.75" customHeight="1" x14ac:dyDescent="0.15">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5.75" customHeight="1" x14ac:dyDescent="0.1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5.75" customHeight="1" x14ac:dyDescent="0.15">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5.75" customHeight="1" x14ac:dyDescent="0.15">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5.75" customHeight="1" x14ac:dyDescent="0.15">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5.75" customHeight="1" x14ac:dyDescent="0.15">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5.75" customHeight="1" x14ac:dyDescent="0.15">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5.75" customHeight="1" x14ac:dyDescent="0.15">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5.75" customHeight="1" x14ac:dyDescent="0.15">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5.75" customHeight="1" x14ac:dyDescent="0.15">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5.75" customHeight="1" x14ac:dyDescent="0.15">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5.75" customHeight="1" x14ac:dyDescent="0.1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5.75" customHeight="1" x14ac:dyDescent="0.15">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5.75" customHeight="1" x14ac:dyDescent="0.15">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5.75" customHeight="1" x14ac:dyDescent="0.15">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5.75" customHeight="1" x14ac:dyDescent="0.15">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5.75" customHeight="1" x14ac:dyDescent="0.15">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5.75" customHeight="1" x14ac:dyDescent="0.15">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5.75" customHeight="1" x14ac:dyDescent="0.15">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5.75" customHeight="1" x14ac:dyDescent="0.15">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5.75" customHeight="1" x14ac:dyDescent="0.15">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5.75" customHeight="1" x14ac:dyDescent="0.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5.75" customHeight="1" x14ac:dyDescent="0.15">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5.75" customHeight="1" x14ac:dyDescent="0.15">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5.75" customHeight="1" x14ac:dyDescent="0.15">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5.75" customHeight="1" x14ac:dyDescent="0.15">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5.75" customHeight="1" x14ac:dyDescent="0.15">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5.75" customHeight="1" x14ac:dyDescent="0.15">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5.75" customHeight="1" x14ac:dyDescent="0.15">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5.75" customHeight="1" x14ac:dyDescent="0.15">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5.75" customHeight="1" x14ac:dyDescent="0.15">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5.75" customHeight="1" x14ac:dyDescent="0.1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5.75" customHeight="1" x14ac:dyDescent="0.15">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5.75" customHeight="1" x14ac:dyDescent="0.15">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5.75" customHeight="1" x14ac:dyDescent="0.15">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5.75" customHeight="1" x14ac:dyDescent="0.15">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5.75" customHeight="1" x14ac:dyDescent="0.15">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5.75" customHeight="1" x14ac:dyDescent="0.15">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5.75" customHeight="1" x14ac:dyDescent="0.15">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5.75" customHeight="1" x14ac:dyDescent="0.15">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5.75" customHeight="1" x14ac:dyDescent="0.15">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5.75" customHeight="1" x14ac:dyDescent="0.1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5.75" customHeight="1" x14ac:dyDescent="0.15">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5.75" customHeight="1" x14ac:dyDescent="0.15">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5.75" customHeight="1" x14ac:dyDescent="0.15">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5.75" customHeight="1" x14ac:dyDescent="0.15">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5.75" customHeight="1" x14ac:dyDescent="0.15">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5.75" customHeight="1" x14ac:dyDescent="0.15">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5.75" customHeight="1" x14ac:dyDescent="0.15">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5.75" customHeight="1" x14ac:dyDescent="0.15">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5.75" customHeight="1" x14ac:dyDescent="0.15">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5.75" customHeight="1" x14ac:dyDescent="0.1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5.75" customHeight="1" x14ac:dyDescent="0.15">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5.75" customHeight="1" x14ac:dyDescent="0.15">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5.75" customHeight="1" x14ac:dyDescent="0.15">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5.75" customHeight="1" x14ac:dyDescent="0.15">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5.75" customHeight="1" x14ac:dyDescent="0.15">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5.75" customHeight="1" x14ac:dyDescent="0.15">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5.75" customHeight="1" x14ac:dyDescent="0.15">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5.75" customHeight="1" x14ac:dyDescent="0.15">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5.75" customHeight="1" x14ac:dyDescent="0.15">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5.75" customHeight="1" x14ac:dyDescent="0.1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5.75" customHeight="1" x14ac:dyDescent="0.15">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5.75" customHeight="1" x14ac:dyDescent="0.15">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5.75" customHeight="1" x14ac:dyDescent="0.15">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5.75" customHeight="1" x14ac:dyDescent="0.15">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5.75" customHeight="1" x14ac:dyDescent="0.15">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5.75" customHeight="1" x14ac:dyDescent="0.15">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5.75" customHeight="1" x14ac:dyDescent="0.15">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5.75" customHeight="1" x14ac:dyDescent="0.15">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5.75" customHeight="1" x14ac:dyDescent="0.15">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5.75" customHeight="1" x14ac:dyDescent="0.1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5.75" customHeight="1" x14ac:dyDescent="0.15">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5.75" customHeight="1" x14ac:dyDescent="0.15">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5.75" customHeight="1" x14ac:dyDescent="0.15">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5.75" customHeight="1" x14ac:dyDescent="0.15">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5.75" customHeight="1" x14ac:dyDescent="0.15">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5.75" customHeight="1" x14ac:dyDescent="0.15">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5.75" customHeight="1" x14ac:dyDescent="0.15">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5.75" customHeight="1" x14ac:dyDescent="0.15">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5.75" customHeight="1" x14ac:dyDescent="0.15">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5.75" customHeight="1" x14ac:dyDescent="0.1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5.75" customHeight="1" x14ac:dyDescent="0.15">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5.75" customHeight="1" x14ac:dyDescent="0.15">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5.75" customHeight="1" x14ac:dyDescent="0.15">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5.75" customHeight="1" x14ac:dyDescent="0.15">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5.75" customHeight="1" x14ac:dyDescent="0.15">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5.75" customHeight="1" x14ac:dyDescent="0.15">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5.75" customHeight="1" x14ac:dyDescent="0.15">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5.75" customHeight="1" x14ac:dyDescent="0.15">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5.75" customHeight="1" x14ac:dyDescent="0.15">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5.75" customHeight="1" x14ac:dyDescent="0.1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5.75" customHeight="1" x14ac:dyDescent="0.15">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5.75" customHeight="1" x14ac:dyDescent="0.15">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5.75" customHeight="1" x14ac:dyDescent="0.15">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5.75" customHeight="1" x14ac:dyDescent="0.15">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5.75" customHeight="1" x14ac:dyDescent="0.15">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5.75" customHeight="1" x14ac:dyDescent="0.15">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5.75" customHeight="1" x14ac:dyDescent="0.15">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5.75" customHeight="1" x14ac:dyDescent="0.15">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5.75" customHeight="1" x14ac:dyDescent="0.15">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5.75" customHeight="1" x14ac:dyDescent="0.1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5.75" customHeight="1" x14ac:dyDescent="0.15">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5.75" customHeight="1" x14ac:dyDescent="0.15">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5.75" customHeight="1" x14ac:dyDescent="0.15">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5.75" customHeight="1" x14ac:dyDescent="0.15">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5.75" customHeight="1" x14ac:dyDescent="0.15">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5.75" customHeight="1" x14ac:dyDescent="0.15">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5.75" customHeight="1" x14ac:dyDescent="0.15">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5.75" customHeight="1" x14ac:dyDescent="0.15">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5.75" customHeight="1" x14ac:dyDescent="0.15">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5.75" customHeight="1" x14ac:dyDescent="0.1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5.75" customHeight="1" x14ac:dyDescent="0.15">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5.75" customHeight="1" x14ac:dyDescent="0.15">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5.75" customHeight="1" x14ac:dyDescent="0.15">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5.75" customHeight="1" x14ac:dyDescent="0.15">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5.75" customHeight="1" x14ac:dyDescent="0.15">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5.75" customHeight="1" x14ac:dyDescent="0.15">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5.75" customHeight="1" x14ac:dyDescent="0.15">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5.75" customHeight="1" x14ac:dyDescent="0.15">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5.75" customHeight="1" x14ac:dyDescent="0.15">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5.75" customHeight="1" x14ac:dyDescent="0.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5.75" customHeight="1" x14ac:dyDescent="0.15">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5.75" customHeight="1" x14ac:dyDescent="0.15">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5.75" customHeight="1" x14ac:dyDescent="0.15">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5.75" customHeight="1" x14ac:dyDescent="0.15">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5.75" customHeight="1" x14ac:dyDescent="0.15">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5.75" customHeight="1" x14ac:dyDescent="0.15">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5.75" customHeight="1" x14ac:dyDescent="0.15">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5.75" customHeight="1" x14ac:dyDescent="0.15">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5.75" customHeight="1" x14ac:dyDescent="0.15">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5.75" customHeight="1" x14ac:dyDescent="0.1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5.75" customHeight="1" x14ac:dyDescent="0.15">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5.75" customHeight="1" x14ac:dyDescent="0.15">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5.75" customHeight="1" x14ac:dyDescent="0.15">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5.75" customHeight="1" x14ac:dyDescent="0.15">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5.75" customHeight="1" x14ac:dyDescent="0.15">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5.75" customHeight="1" x14ac:dyDescent="0.15">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5.75" customHeight="1" x14ac:dyDescent="0.15">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5.75" customHeight="1" x14ac:dyDescent="0.15">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5.75" customHeight="1" x14ac:dyDescent="0.15">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5.75" customHeight="1" x14ac:dyDescent="0.1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5.75" customHeight="1" x14ac:dyDescent="0.15">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5.75" customHeight="1" x14ac:dyDescent="0.15">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5.75" customHeight="1" x14ac:dyDescent="0.15">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5.75" customHeight="1" x14ac:dyDescent="0.15">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5.75" customHeight="1" x14ac:dyDescent="0.15">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5.75" customHeight="1" x14ac:dyDescent="0.15">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5.75" customHeight="1" x14ac:dyDescent="0.15">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5.75" customHeight="1" x14ac:dyDescent="0.15">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5.75" customHeight="1" x14ac:dyDescent="0.15">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5.75" customHeight="1" x14ac:dyDescent="0.1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5.75" customHeight="1" x14ac:dyDescent="0.15">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5.75" customHeight="1" x14ac:dyDescent="0.15">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5.75" customHeight="1" x14ac:dyDescent="0.15">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5.75" customHeight="1" x14ac:dyDescent="0.15">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5.75" customHeight="1" x14ac:dyDescent="0.15">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5.75" customHeight="1" x14ac:dyDescent="0.15">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5.75" customHeight="1" x14ac:dyDescent="0.15">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5.75" customHeight="1" x14ac:dyDescent="0.15">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5.75" customHeight="1" x14ac:dyDescent="0.15">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5.75" customHeight="1" x14ac:dyDescent="0.1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5.75" customHeight="1" x14ac:dyDescent="0.15">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5.75" customHeight="1" x14ac:dyDescent="0.15">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5.75" customHeight="1" x14ac:dyDescent="0.15">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5.75" customHeight="1" x14ac:dyDescent="0.15">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5.75" customHeight="1" x14ac:dyDescent="0.15">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5.75" customHeight="1" x14ac:dyDescent="0.15">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5.75" customHeight="1" x14ac:dyDescent="0.15">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5.75" customHeight="1" x14ac:dyDescent="0.15">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5.75" customHeight="1" x14ac:dyDescent="0.15">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5.75" customHeight="1" x14ac:dyDescent="0.1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5.75" customHeight="1" x14ac:dyDescent="0.15">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5.75" customHeight="1" x14ac:dyDescent="0.15">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5.75" customHeight="1" x14ac:dyDescent="0.15">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5.75" customHeight="1" x14ac:dyDescent="0.15">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5.75" customHeight="1" x14ac:dyDescent="0.15">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5.75" customHeight="1" x14ac:dyDescent="0.15">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5.75" customHeight="1" x14ac:dyDescent="0.15">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5.75" customHeight="1" x14ac:dyDescent="0.15">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5.75" customHeight="1" x14ac:dyDescent="0.15">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5.75" customHeight="1" x14ac:dyDescent="0.1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5.75" customHeight="1" x14ac:dyDescent="0.15">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5.75" customHeight="1" x14ac:dyDescent="0.15">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5.75" customHeight="1" x14ac:dyDescent="0.15">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5.75" customHeight="1" x14ac:dyDescent="0.15">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5.75" customHeight="1" x14ac:dyDescent="0.15">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5.75" customHeight="1" x14ac:dyDescent="0.15">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5.75" customHeight="1" x14ac:dyDescent="0.15">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5.75" customHeight="1" x14ac:dyDescent="0.15">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5.75" customHeight="1" x14ac:dyDescent="0.15">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5.75" customHeight="1" x14ac:dyDescent="0.1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5.75" customHeight="1" x14ac:dyDescent="0.15">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5.75" customHeight="1" x14ac:dyDescent="0.15">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5.75" customHeight="1" x14ac:dyDescent="0.15">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5.75" customHeight="1" x14ac:dyDescent="0.15">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5.75" customHeight="1" x14ac:dyDescent="0.15">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5.75" customHeight="1" x14ac:dyDescent="0.15">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5.75" customHeight="1" x14ac:dyDescent="0.15">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5.75" customHeight="1" x14ac:dyDescent="0.15">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5.75" customHeight="1" x14ac:dyDescent="0.15">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5.75" customHeight="1" x14ac:dyDescent="0.1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5.75" customHeight="1" x14ac:dyDescent="0.15">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5.75" customHeight="1" x14ac:dyDescent="0.15">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5.75" customHeight="1" x14ac:dyDescent="0.15">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5.75" customHeight="1" x14ac:dyDescent="0.15">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5.75" customHeight="1" x14ac:dyDescent="0.15">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5.75" customHeight="1" x14ac:dyDescent="0.15">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5.75" customHeight="1" x14ac:dyDescent="0.15">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5.75" customHeight="1" x14ac:dyDescent="0.15">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5.75" customHeight="1" x14ac:dyDescent="0.15">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5.75" customHeight="1" x14ac:dyDescent="0.1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5.75" customHeight="1" x14ac:dyDescent="0.15">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5.75" customHeight="1" x14ac:dyDescent="0.15">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5.75" customHeight="1" x14ac:dyDescent="0.15">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5.75" customHeight="1" x14ac:dyDescent="0.15">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5.75" customHeight="1" x14ac:dyDescent="0.15">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5.75" customHeight="1" x14ac:dyDescent="0.15">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5.75" customHeight="1" x14ac:dyDescent="0.15">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5.75" customHeight="1" x14ac:dyDescent="0.15">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5.75" customHeight="1" x14ac:dyDescent="0.15">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5.75" customHeight="1" x14ac:dyDescent="0.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5.75" customHeight="1" x14ac:dyDescent="0.15">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5.75" customHeight="1" x14ac:dyDescent="0.15">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5.75" customHeight="1" x14ac:dyDescent="0.15">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5.75" customHeight="1" x14ac:dyDescent="0.15">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5.75" customHeight="1" x14ac:dyDescent="0.15">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5.75" customHeight="1" x14ac:dyDescent="0.15">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5.75" customHeight="1" x14ac:dyDescent="0.15">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5.75" customHeight="1" x14ac:dyDescent="0.15">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5.75" customHeight="1" x14ac:dyDescent="0.15">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5.75" customHeight="1" x14ac:dyDescent="0.1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5.75" customHeight="1" x14ac:dyDescent="0.15">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5.75" customHeight="1" x14ac:dyDescent="0.15">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5.75" customHeight="1" x14ac:dyDescent="0.15">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5.75" customHeight="1" x14ac:dyDescent="0.15">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5.75" customHeight="1" x14ac:dyDescent="0.15">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5.75" customHeight="1" x14ac:dyDescent="0.15">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5.75" customHeight="1" x14ac:dyDescent="0.15">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5.75" customHeight="1" x14ac:dyDescent="0.15">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5.75" customHeight="1" x14ac:dyDescent="0.15">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5.75" customHeight="1" x14ac:dyDescent="0.1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5.75" customHeight="1" x14ac:dyDescent="0.15">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5.75" customHeight="1" x14ac:dyDescent="0.15">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5.75" customHeight="1" x14ac:dyDescent="0.15">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5.75" customHeight="1" x14ac:dyDescent="0.15">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5.75" customHeight="1" x14ac:dyDescent="0.15">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5.75" customHeight="1" x14ac:dyDescent="0.15">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5.75" customHeight="1" x14ac:dyDescent="0.15">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5.75" customHeight="1" x14ac:dyDescent="0.15">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5.75" customHeight="1" x14ac:dyDescent="0.15">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5.75" customHeight="1" x14ac:dyDescent="0.1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5.75" customHeight="1" x14ac:dyDescent="0.15">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5.75" customHeight="1" x14ac:dyDescent="0.15">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5.75" customHeight="1" x14ac:dyDescent="0.15">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5.75" customHeight="1" x14ac:dyDescent="0.15">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5.75" customHeight="1" x14ac:dyDescent="0.15">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5.75" customHeight="1" x14ac:dyDescent="0.15">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5.75" customHeight="1" x14ac:dyDescent="0.15">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5.75" customHeight="1" x14ac:dyDescent="0.15">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5.75" customHeight="1" x14ac:dyDescent="0.15">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5.75" customHeight="1" x14ac:dyDescent="0.1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5.75" customHeight="1" x14ac:dyDescent="0.15">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5.75" customHeight="1" x14ac:dyDescent="0.15">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5.75" customHeight="1" x14ac:dyDescent="0.15">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5.75" customHeight="1" x14ac:dyDescent="0.15">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5.75" customHeight="1" x14ac:dyDescent="0.15">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5.75" customHeight="1" x14ac:dyDescent="0.15">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5.75" customHeight="1" x14ac:dyDescent="0.15">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5.75" customHeight="1" x14ac:dyDescent="0.15">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5.75" customHeight="1" x14ac:dyDescent="0.15">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5.75" customHeight="1" x14ac:dyDescent="0.1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5.75" customHeight="1" x14ac:dyDescent="0.15">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5.75" customHeight="1" x14ac:dyDescent="0.15">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5.75" customHeight="1" x14ac:dyDescent="0.15">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5.75" customHeight="1" x14ac:dyDescent="0.15">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5.75" customHeight="1" x14ac:dyDescent="0.15">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5.75" customHeight="1" x14ac:dyDescent="0.15">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5.75" customHeight="1" x14ac:dyDescent="0.15">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5.75" customHeight="1" x14ac:dyDescent="0.15">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5.75" customHeight="1" x14ac:dyDescent="0.15">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5.75" customHeight="1" x14ac:dyDescent="0.1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5.75" customHeight="1" x14ac:dyDescent="0.15">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5.75" customHeight="1" x14ac:dyDescent="0.15">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5.75" customHeight="1" x14ac:dyDescent="0.15">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5.75" customHeight="1" x14ac:dyDescent="0.15">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5.75" customHeight="1" x14ac:dyDescent="0.15">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5.75" customHeight="1" x14ac:dyDescent="0.15">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5.75" customHeight="1" x14ac:dyDescent="0.15">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5.75" customHeight="1" x14ac:dyDescent="0.15">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5.75" customHeight="1" x14ac:dyDescent="0.15">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5.75" customHeight="1" x14ac:dyDescent="0.1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5.75" customHeight="1" x14ac:dyDescent="0.15">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5.75" customHeight="1" x14ac:dyDescent="0.15">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5.75" customHeight="1" x14ac:dyDescent="0.15">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5.75" customHeight="1" x14ac:dyDescent="0.15">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5.75" customHeight="1" x14ac:dyDescent="0.15">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5.75" customHeight="1" x14ac:dyDescent="0.15">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5.75" customHeight="1" x14ac:dyDescent="0.15">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5.75" customHeight="1" x14ac:dyDescent="0.15">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5.75" customHeight="1" x14ac:dyDescent="0.15">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5.75" customHeight="1" x14ac:dyDescent="0.1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5.75" customHeight="1" x14ac:dyDescent="0.15">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5.75" customHeight="1" x14ac:dyDescent="0.15">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5.75" customHeight="1" x14ac:dyDescent="0.15">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5.75" customHeight="1" x14ac:dyDescent="0.15">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5.75" customHeight="1" x14ac:dyDescent="0.15">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5.75" customHeight="1" x14ac:dyDescent="0.15">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5.75" customHeight="1" x14ac:dyDescent="0.15">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5.75" customHeight="1" x14ac:dyDescent="0.15">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5.75" customHeight="1" x14ac:dyDescent="0.15">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5.75" customHeight="1" x14ac:dyDescent="0.1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5.75" customHeight="1" x14ac:dyDescent="0.15">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5.75" customHeight="1" x14ac:dyDescent="0.15">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5.75" customHeight="1" x14ac:dyDescent="0.15">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5.75" customHeight="1" x14ac:dyDescent="0.15">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5.75" customHeight="1" x14ac:dyDescent="0.15">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5.75" customHeight="1" x14ac:dyDescent="0.15">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5.75" customHeight="1" x14ac:dyDescent="0.15">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5.75" customHeight="1" x14ac:dyDescent="0.15">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5.75" customHeight="1" x14ac:dyDescent="0.15">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5.75" customHeight="1" x14ac:dyDescent="0.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5.75" customHeight="1" x14ac:dyDescent="0.15">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5.75" customHeight="1" x14ac:dyDescent="0.15">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5.75" customHeight="1" x14ac:dyDescent="0.15">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5.75" customHeight="1" x14ac:dyDescent="0.15">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5.75" customHeight="1" x14ac:dyDescent="0.15">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5.75" customHeight="1" x14ac:dyDescent="0.15">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5.75" customHeight="1" x14ac:dyDescent="0.15">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5.75" customHeight="1" x14ac:dyDescent="0.15">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5.75" customHeight="1" x14ac:dyDescent="0.15">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5.75" customHeight="1" x14ac:dyDescent="0.1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5.75" customHeight="1" x14ac:dyDescent="0.15">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5.75" customHeight="1" x14ac:dyDescent="0.15">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5.75" customHeight="1" x14ac:dyDescent="0.15">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5.75" customHeight="1" x14ac:dyDescent="0.15">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5.75" customHeight="1" x14ac:dyDescent="0.15">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5.75" customHeight="1" x14ac:dyDescent="0.15">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5.75" customHeight="1" x14ac:dyDescent="0.15">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5.75" customHeight="1" x14ac:dyDescent="0.15">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5.75" customHeight="1" x14ac:dyDescent="0.15">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5.75" customHeight="1" x14ac:dyDescent="0.1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5.75" customHeight="1" x14ac:dyDescent="0.15">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5.75" customHeight="1" x14ac:dyDescent="0.15">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5.75" customHeight="1" x14ac:dyDescent="0.15">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5.75" customHeight="1" x14ac:dyDescent="0.15">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5.75" customHeight="1" x14ac:dyDescent="0.15">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5.75" customHeight="1" x14ac:dyDescent="0.15">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5.75" customHeight="1" x14ac:dyDescent="0.15">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5.75" customHeight="1" x14ac:dyDescent="0.15">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5.75" customHeight="1" x14ac:dyDescent="0.15">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5.75" customHeight="1" x14ac:dyDescent="0.1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5.75" customHeight="1" x14ac:dyDescent="0.15">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5.75" customHeight="1" x14ac:dyDescent="0.15">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5.75" customHeight="1" x14ac:dyDescent="0.15">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5.75" customHeight="1" x14ac:dyDescent="0.15">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5.75" customHeight="1" x14ac:dyDescent="0.15">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5.75" customHeight="1" x14ac:dyDescent="0.15">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5.75" customHeight="1" x14ac:dyDescent="0.15">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5.75" customHeight="1" x14ac:dyDescent="0.15">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5.75" customHeight="1" x14ac:dyDescent="0.15">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5.75" customHeight="1" x14ac:dyDescent="0.1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5.75" customHeight="1" x14ac:dyDescent="0.15">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5.75" customHeight="1" x14ac:dyDescent="0.15">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5.75" customHeight="1" x14ac:dyDescent="0.15">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5.75" customHeight="1" x14ac:dyDescent="0.15">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5.75" customHeight="1" x14ac:dyDescent="0.15">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5.75" customHeight="1" x14ac:dyDescent="0.15">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5.75" customHeight="1" x14ac:dyDescent="0.15">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5.75" customHeight="1" x14ac:dyDescent="0.15">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5.75" customHeight="1" x14ac:dyDescent="0.15">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5.75" customHeight="1" x14ac:dyDescent="0.1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5.75" customHeight="1" x14ac:dyDescent="0.15">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5.75" customHeight="1" x14ac:dyDescent="0.15">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5.75" customHeight="1" x14ac:dyDescent="0.15">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5.75" customHeight="1" x14ac:dyDescent="0.15">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5.75" customHeight="1" x14ac:dyDescent="0.15">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5.75" customHeight="1" x14ac:dyDescent="0.15">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5.75" customHeight="1" x14ac:dyDescent="0.15">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5.75" customHeight="1" x14ac:dyDescent="0.15">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5.75" customHeight="1" x14ac:dyDescent="0.15">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5.75" customHeight="1" x14ac:dyDescent="0.1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5.75" customHeight="1" x14ac:dyDescent="0.15">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5.75" customHeight="1" x14ac:dyDescent="0.15">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5.75" customHeight="1" x14ac:dyDescent="0.15">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5.75" customHeight="1" x14ac:dyDescent="0.15">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5.75" customHeight="1" x14ac:dyDescent="0.15">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5.75" customHeight="1" x14ac:dyDescent="0.15">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5.75" customHeight="1" x14ac:dyDescent="0.15">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5.75" customHeight="1" x14ac:dyDescent="0.15">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5.75" customHeight="1" x14ac:dyDescent="0.15">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5.75" customHeight="1" x14ac:dyDescent="0.1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5.75" customHeight="1" x14ac:dyDescent="0.15">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5.75" customHeight="1" x14ac:dyDescent="0.15">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5.75" customHeight="1" x14ac:dyDescent="0.15">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5.75" customHeight="1" x14ac:dyDescent="0.15">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5.75" customHeight="1" x14ac:dyDescent="0.15">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5.75" customHeight="1" x14ac:dyDescent="0.15">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5.75" customHeight="1" x14ac:dyDescent="0.15">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5.75" customHeight="1" x14ac:dyDescent="0.15">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5.75" customHeight="1" x14ac:dyDescent="0.15">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5.75" customHeight="1" x14ac:dyDescent="0.1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5.75" customHeight="1" x14ac:dyDescent="0.15">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5.75" customHeight="1" x14ac:dyDescent="0.15">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5.75" customHeight="1" x14ac:dyDescent="0.15">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5.75" customHeight="1" x14ac:dyDescent="0.15">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5.75" customHeight="1" x14ac:dyDescent="0.15">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5.75" customHeight="1" x14ac:dyDescent="0.15">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5.75" customHeight="1" x14ac:dyDescent="0.15">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5.75" customHeight="1" x14ac:dyDescent="0.15">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5.75" customHeight="1" x14ac:dyDescent="0.15">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5.75" customHeight="1" x14ac:dyDescent="0.1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5.75" customHeight="1" x14ac:dyDescent="0.15">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5.75" customHeight="1" x14ac:dyDescent="0.15">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5.75" customHeight="1" x14ac:dyDescent="0.15">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5.75" customHeight="1" x14ac:dyDescent="0.15">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5.75" customHeight="1" x14ac:dyDescent="0.15">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5.75" customHeight="1" x14ac:dyDescent="0.15">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5.75" customHeight="1" x14ac:dyDescent="0.15">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5.75" customHeight="1" x14ac:dyDescent="0.15">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5.75" customHeight="1" x14ac:dyDescent="0.15">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5.75" customHeight="1" x14ac:dyDescent="0.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5.75" customHeight="1" x14ac:dyDescent="0.15">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5.75" customHeight="1" x14ac:dyDescent="0.15">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5.75" customHeight="1" x14ac:dyDescent="0.15">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5.75" customHeight="1" x14ac:dyDescent="0.15">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5.75" customHeight="1" x14ac:dyDescent="0.15">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5.75" customHeight="1" x14ac:dyDescent="0.15">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5.75" customHeight="1" x14ac:dyDescent="0.15">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5.75" customHeight="1" x14ac:dyDescent="0.15">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5.75" customHeight="1" x14ac:dyDescent="0.15">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5.75" customHeight="1" x14ac:dyDescent="0.1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5.75" customHeight="1" x14ac:dyDescent="0.15">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5.75" customHeight="1" x14ac:dyDescent="0.15">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5.75" customHeight="1" x14ac:dyDescent="0.15">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5.75" customHeight="1" x14ac:dyDescent="0.15">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5.75" customHeight="1" x14ac:dyDescent="0.15">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5.75" customHeight="1" x14ac:dyDescent="0.15">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5.75" customHeight="1" x14ac:dyDescent="0.15">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5.75" customHeight="1" x14ac:dyDescent="0.15">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5.75" customHeight="1" x14ac:dyDescent="0.15">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5.75" customHeight="1" x14ac:dyDescent="0.1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5.75" customHeight="1" x14ac:dyDescent="0.15">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5.75" customHeight="1" x14ac:dyDescent="0.15">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5.75" customHeight="1" x14ac:dyDescent="0.15">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5.75" customHeight="1" x14ac:dyDescent="0.15">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5.75" customHeight="1" x14ac:dyDescent="0.15">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5.75" customHeight="1" x14ac:dyDescent="0.15">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5.75" customHeight="1" x14ac:dyDescent="0.15">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5.75" customHeight="1" x14ac:dyDescent="0.15">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5.75" customHeight="1" x14ac:dyDescent="0.15">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5.75" customHeight="1" x14ac:dyDescent="0.1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5.75" customHeight="1" x14ac:dyDescent="0.15">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5.75" customHeight="1" x14ac:dyDescent="0.15">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5.75" customHeight="1" x14ac:dyDescent="0.15">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5.75" customHeight="1" x14ac:dyDescent="0.15">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5.75" customHeight="1" x14ac:dyDescent="0.15">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5.75" customHeight="1" x14ac:dyDescent="0.15">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5.75" customHeight="1" x14ac:dyDescent="0.15">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5.75" customHeight="1" x14ac:dyDescent="0.15">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5.75" customHeight="1" x14ac:dyDescent="0.15">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5.75" customHeight="1" x14ac:dyDescent="0.1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5.75" customHeight="1" x14ac:dyDescent="0.15">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5.75" customHeight="1" x14ac:dyDescent="0.15">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5.75" customHeight="1" x14ac:dyDescent="0.15">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5.75" customHeight="1" x14ac:dyDescent="0.15">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5.75" customHeight="1" x14ac:dyDescent="0.15">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5.75" customHeight="1" x14ac:dyDescent="0.15">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5.75" customHeight="1" x14ac:dyDescent="0.15">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5.75" customHeight="1" x14ac:dyDescent="0.15">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5.75" customHeight="1" x14ac:dyDescent="0.15">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5.75" customHeight="1" x14ac:dyDescent="0.1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5.75" customHeight="1" x14ac:dyDescent="0.15">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5.75" customHeight="1" x14ac:dyDescent="0.15">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5.75" customHeight="1" x14ac:dyDescent="0.15">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5.75" customHeight="1" x14ac:dyDescent="0.15">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5.75" customHeight="1" x14ac:dyDescent="0.15">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5.75" customHeight="1" x14ac:dyDescent="0.15">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5.75" customHeight="1" x14ac:dyDescent="0.15">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5.75" customHeight="1" x14ac:dyDescent="0.15">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5.75" customHeight="1" x14ac:dyDescent="0.15">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5.75" customHeight="1" x14ac:dyDescent="0.1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5.75" customHeight="1" x14ac:dyDescent="0.15">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5.75" customHeight="1" x14ac:dyDescent="0.15">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5.75" customHeight="1" x14ac:dyDescent="0.15">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5.75" customHeight="1" x14ac:dyDescent="0.15">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5.75" customHeight="1" x14ac:dyDescent="0.15">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5.75" customHeight="1" x14ac:dyDescent="0.15">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15.75" customHeight="1" x14ac:dyDescent="0.15">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15.75" customHeight="1" x14ac:dyDescent="0.15">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15.75" customHeight="1" x14ac:dyDescent="0.15">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15.75" customHeight="1" x14ac:dyDescent="0.1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15.75" customHeight="1" x14ac:dyDescent="0.15">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15.75" customHeight="1" x14ac:dyDescent="0.15">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ht="15.75" customHeight="1" x14ac:dyDescent="0.15">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ht="15.75" customHeight="1" x14ac:dyDescent="0.15">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ht="15.75" customHeight="1" x14ac:dyDescent="0.15">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ht="15.75" customHeight="1" x14ac:dyDescent="0.15">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ht="15.75" customHeight="1" x14ac:dyDescent="0.15">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ht="15.75" customHeight="1" x14ac:dyDescent="0.15">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ht="15.75" customHeight="1" x14ac:dyDescent="0.15">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ht="15.75" customHeight="1" x14ac:dyDescent="0.1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ht="15.75" customHeight="1" x14ac:dyDescent="0.15">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ht="15.75" customHeight="1" x14ac:dyDescent="0.15">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ht="15.75" customHeight="1" x14ac:dyDescent="0.15">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ht="15.75" customHeight="1" x14ac:dyDescent="0.15">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ht="15.75" customHeight="1" x14ac:dyDescent="0.1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8D78-1145-C046-AB67-75E1C29A2BCE}">
  <dimension ref="A1:I1000"/>
  <sheetViews>
    <sheetView zoomScale="143" zoomScaleNormal="100" workbookViewId="0">
      <pane ySplit="5" topLeftCell="A6" activePane="bottomLeft" state="frozen"/>
      <selection pane="bottomLeft" sqref="A1:I1"/>
    </sheetView>
  </sheetViews>
  <sheetFormatPr baseColWidth="10" defaultColWidth="12.6640625" defaultRowHeight="14" x14ac:dyDescent="0.15"/>
  <cols>
    <col min="1" max="1" width="9" customWidth="1"/>
    <col min="2" max="4" width="28.33203125" customWidth="1"/>
    <col min="5" max="5" width="17.6640625" customWidth="1"/>
    <col min="6" max="6" width="16.33203125" customWidth="1"/>
    <col min="7" max="7" width="23.1640625" customWidth="1"/>
    <col min="8" max="8" width="11" customWidth="1"/>
    <col min="9" max="9" width="12.6640625" customWidth="1"/>
    <col min="10" max="26" width="9" customWidth="1"/>
  </cols>
  <sheetData>
    <row r="1" spans="1:9" ht="19" x14ac:dyDescent="0.25">
      <c r="A1" s="34" t="s">
        <v>38</v>
      </c>
      <c r="B1" s="34"/>
      <c r="C1" s="34"/>
      <c r="D1" s="34"/>
      <c r="E1" s="34"/>
      <c r="F1" s="34"/>
      <c r="G1" s="34"/>
      <c r="H1" s="34"/>
      <c r="I1" s="34"/>
    </row>
    <row r="3" spans="1:9" ht="30" customHeight="1" x14ac:dyDescent="0.15">
      <c r="A3" s="33" t="s">
        <v>39</v>
      </c>
      <c r="B3" s="33"/>
      <c r="C3" s="33"/>
      <c r="D3" s="33"/>
      <c r="E3" s="33"/>
      <c r="F3" s="33"/>
      <c r="G3" s="33"/>
      <c r="H3" s="33"/>
      <c r="I3" s="33"/>
    </row>
    <row r="5" spans="1:9" ht="30" customHeight="1" x14ac:dyDescent="0.15">
      <c r="A5" s="11" t="s">
        <v>0</v>
      </c>
      <c r="B5" s="11" t="s">
        <v>40</v>
      </c>
      <c r="C5" s="11" t="s">
        <v>41</v>
      </c>
      <c r="D5" s="11" t="s">
        <v>42</v>
      </c>
      <c r="E5" s="11" t="s">
        <v>43</v>
      </c>
      <c r="F5" s="11" t="s">
        <v>44</v>
      </c>
      <c r="G5" s="11" t="s">
        <v>8</v>
      </c>
      <c r="H5" s="11" t="s">
        <v>45</v>
      </c>
      <c r="I5" s="11" t="s">
        <v>46</v>
      </c>
    </row>
    <row r="6" spans="1:9" ht="30" customHeight="1" x14ac:dyDescent="0.15">
      <c r="A6" s="12" t="s">
        <v>13</v>
      </c>
      <c r="B6" s="13" t="s">
        <v>47</v>
      </c>
      <c r="C6" s="13" t="s">
        <v>48</v>
      </c>
      <c r="D6" s="13" t="s">
        <v>49</v>
      </c>
      <c r="E6" s="13">
        <v>4</v>
      </c>
      <c r="F6" s="13">
        <v>5</v>
      </c>
      <c r="G6" s="12">
        <v>20</v>
      </c>
      <c r="H6" s="14" t="s">
        <v>18</v>
      </c>
      <c r="I6" s="13" t="s">
        <v>50</v>
      </c>
    </row>
    <row r="7" spans="1:9" ht="30" customHeight="1" x14ac:dyDescent="0.15">
      <c r="A7" s="12" t="s">
        <v>22</v>
      </c>
      <c r="B7" s="13" t="s">
        <v>51</v>
      </c>
      <c r="C7" s="13" t="s">
        <v>48</v>
      </c>
      <c r="D7" s="13" t="s">
        <v>52</v>
      </c>
      <c r="E7" s="13">
        <v>4</v>
      </c>
      <c r="F7" s="13">
        <v>4</v>
      </c>
      <c r="G7" s="12">
        <v>16</v>
      </c>
      <c r="H7" s="14" t="s">
        <v>18</v>
      </c>
      <c r="I7" s="13" t="s">
        <v>53</v>
      </c>
    </row>
    <row r="8" spans="1:9" ht="30" customHeight="1" x14ac:dyDescent="0.15">
      <c r="A8" s="12" t="s">
        <v>29</v>
      </c>
      <c r="B8" s="13" t="s">
        <v>54</v>
      </c>
      <c r="C8" s="13" t="s">
        <v>55</v>
      </c>
      <c r="D8" s="13" t="s">
        <v>49</v>
      </c>
      <c r="E8" s="13">
        <v>3</v>
      </c>
      <c r="F8" s="13">
        <v>4</v>
      </c>
      <c r="G8" s="12">
        <v>12</v>
      </c>
      <c r="H8" s="15" t="s">
        <v>34</v>
      </c>
      <c r="I8" s="13" t="s">
        <v>56</v>
      </c>
    </row>
    <row r="11" spans="1:9" ht="19" x14ac:dyDescent="0.25">
      <c r="A11" s="18" t="s">
        <v>57</v>
      </c>
      <c r="B11" s="18"/>
      <c r="C11" s="18"/>
      <c r="D11" s="18"/>
      <c r="E11" s="18"/>
      <c r="F11" s="18"/>
      <c r="G11" s="18"/>
      <c r="H11" s="18"/>
      <c r="I11" s="18"/>
    </row>
    <row r="13" spans="1:9" ht="30" customHeight="1" x14ac:dyDescent="0.15">
      <c r="A13" s="11" t="s">
        <v>0</v>
      </c>
      <c r="B13" s="20" t="s">
        <v>58</v>
      </c>
      <c r="C13" s="20"/>
      <c r="D13" s="11" t="s">
        <v>59</v>
      </c>
      <c r="E13" s="20" t="s">
        <v>60</v>
      </c>
      <c r="F13" s="20"/>
      <c r="G13" s="20" t="s">
        <v>61</v>
      </c>
      <c r="H13" s="20"/>
      <c r="I13" s="20"/>
    </row>
    <row r="14" spans="1:9" ht="90" customHeight="1" x14ac:dyDescent="0.15">
      <c r="A14" s="12" t="s">
        <v>13</v>
      </c>
      <c r="B14" s="21" t="s">
        <v>62</v>
      </c>
      <c r="C14" s="22"/>
      <c r="D14" s="16" t="s">
        <v>63</v>
      </c>
      <c r="E14" s="23" t="s">
        <v>64</v>
      </c>
      <c r="F14" s="24"/>
      <c r="G14" s="25" t="s">
        <v>65</v>
      </c>
      <c r="H14" s="26"/>
      <c r="I14" s="27"/>
    </row>
    <row r="15" spans="1:9" ht="90" customHeight="1" x14ac:dyDescent="0.15">
      <c r="A15" s="12" t="s">
        <v>22</v>
      </c>
      <c r="B15" s="21" t="s">
        <v>66</v>
      </c>
      <c r="C15" s="22"/>
      <c r="D15" s="16" t="s">
        <v>67</v>
      </c>
      <c r="E15" s="23" t="s">
        <v>68</v>
      </c>
      <c r="F15" s="24"/>
      <c r="G15" s="25" t="s">
        <v>69</v>
      </c>
      <c r="H15" s="26"/>
      <c r="I15" s="27"/>
    </row>
    <row r="16" spans="1:9" ht="90" customHeight="1" x14ac:dyDescent="0.15">
      <c r="A16" s="12" t="s">
        <v>29</v>
      </c>
      <c r="B16" s="21" t="s">
        <v>70</v>
      </c>
      <c r="C16" s="22"/>
      <c r="D16" s="16" t="s">
        <v>71</v>
      </c>
      <c r="E16" s="23" t="s">
        <v>72</v>
      </c>
      <c r="F16" s="24"/>
      <c r="G16" s="25" t="s">
        <v>73</v>
      </c>
      <c r="H16" s="26"/>
      <c r="I16" s="27"/>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5">
    <mergeCell ref="B16:C16"/>
    <mergeCell ref="E16:F16"/>
    <mergeCell ref="G16:I16"/>
    <mergeCell ref="B14:C14"/>
    <mergeCell ref="E14:F14"/>
    <mergeCell ref="G14:I14"/>
    <mergeCell ref="B15:C15"/>
    <mergeCell ref="E15:F15"/>
    <mergeCell ref="G15:I15"/>
    <mergeCell ref="A1:I1"/>
    <mergeCell ref="A3:I3"/>
    <mergeCell ref="A11:I11"/>
    <mergeCell ref="B13:C13"/>
    <mergeCell ref="E13:F13"/>
    <mergeCell ref="G13:I13"/>
  </mergeCells>
  <pageMargins left="0.7" right="0.7" top="0.75" bottom="0.75" header="0.511811023622047" footer="0.511811023622047"/>
  <pageSetup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7DD2-DADD-1C4D-AAA7-3898F9F87D21}">
  <dimension ref="A1:I7"/>
  <sheetViews>
    <sheetView zoomScale="141" workbookViewId="0">
      <selection activeCell="C6" sqref="C6:I6"/>
    </sheetView>
  </sheetViews>
  <sheetFormatPr baseColWidth="10" defaultColWidth="11.1640625" defaultRowHeight="14" x14ac:dyDescent="0.15"/>
  <cols>
    <col min="2" max="2" width="31.5" customWidth="1"/>
    <col min="9" max="9" width="41.1640625" customWidth="1"/>
  </cols>
  <sheetData>
    <row r="1" spans="1:9" ht="19" x14ac:dyDescent="0.25">
      <c r="A1" s="34" t="s">
        <v>83</v>
      </c>
      <c r="B1" s="34"/>
      <c r="C1" s="34"/>
      <c r="D1" s="34"/>
      <c r="E1" s="34"/>
      <c r="F1" s="34"/>
      <c r="G1" s="34"/>
      <c r="H1" s="34"/>
      <c r="I1" s="34"/>
    </row>
    <row r="2" spans="1:9" ht="15" x14ac:dyDescent="0.15">
      <c r="A2" s="19" t="s">
        <v>82</v>
      </c>
      <c r="B2" s="19"/>
      <c r="C2" s="19"/>
      <c r="D2" s="19"/>
      <c r="E2" s="19"/>
      <c r="F2" s="19"/>
      <c r="G2" s="19"/>
      <c r="H2" s="19"/>
      <c r="I2" s="19"/>
    </row>
    <row r="4" spans="1:9" ht="17" x14ac:dyDescent="0.15">
      <c r="A4" s="11" t="s">
        <v>0</v>
      </c>
      <c r="B4" s="11" t="s">
        <v>74</v>
      </c>
      <c r="C4" s="29" t="s">
        <v>75</v>
      </c>
      <c r="D4" s="29"/>
      <c r="E4" s="29"/>
      <c r="F4" s="29"/>
      <c r="G4" s="29"/>
      <c r="H4" s="29"/>
      <c r="I4" s="29"/>
    </row>
    <row r="5" spans="1:9" ht="101.5" customHeight="1" x14ac:dyDescent="0.15">
      <c r="A5" s="12" t="s">
        <v>13</v>
      </c>
      <c r="B5" s="17" t="s">
        <v>76</v>
      </c>
      <c r="C5" s="28" t="s">
        <v>77</v>
      </c>
      <c r="D5" s="28"/>
      <c r="E5" s="28"/>
      <c r="F5" s="28"/>
      <c r="G5" s="28"/>
      <c r="H5" s="28"/>
      <c r="I5" s="28"/>
    </row>
    <row r="6" spans="1:9" ht="117" customHeight="1" x14ac:dyDescent="0.15">
      <c r="A6" s="12" t="s">
        <v>22</v>
      </c>
      <c r="B6" s="17" t="s">
        <v>78</v>
      </c>
      <c r="C6" s="30" t="s">
        <v>79</v>
      </c>
      <c r="D6" s="31"/>
      <c r="E6" s="31"/>
      <c r="F6" s="31"/>
      <c r="G6" s="31"/>
      <c r="H6" s="31"/>
      <c r="I6" s="32"/>
    </row>
    <row r="7" spans="1:9" ht="120" customHeight="1" x14ac:dyDescent="0.15">
      <c r="A7" s="12" t="s">
        <v>29</v>
      </c>
      <c r="B7" s="17" t="s">
        <v>80</v>
      </c>
      <c r="C7" s="28" t="s">
        <v>81</v>
      </c>
      <c r="D7" s="28"/>
      <c r="E7" s="28"/>
      <c r="F7" s="28"/>
      <c r="G7" s="28"/>
      <c r="H7" s="28"/>
      <c r="I7" s="28"/>
    </row>
  </sheetData>
  <mergeCells count="6">
    <mergeCell ref="C7:I7"/>
    <mergeCell ref="A1:I1"/>
    <mergeCell ref="A2:I2"/>
    <mergeCell ref="C4:I4"/>
    <mergeCell ref="C5:I5"/>
    <mergeCell ref="C6:I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892BB-14CF-2E40-AAA8-2120BCFF74D8}">
  <dimension ref="B2:B28"/>
  <sheetViews>
    <sheetView workbookViewId="0">
      <selection activeCell="D6" sqref="D6"/>
    </sheetView>
  </sheetViews>
  <sheetFormatPr baseColWidth="10" defaultRowHeight="19" x14ac:dyDescent="0.25"/>
  <cols>
    <col min="1" max="1" width="10.83203125" style="35"/>
    <col min="2" max="2" width="154.83203125" style="35" customWidth="1"/>
    <col min="3" max="16384" width="10.83203125" style="35"/>
  </cols>
  <sheetData>
    <row r="2" spans="2:2" x14ac:dyDescent="0.25">
      <c r="B2" s="42" t="s">
        <v>98</v>
      </c>
    </row>
    <row r="3" spans="2:2" x14ac:dyDescent="0.25">
      <c r="B3" s="41" t="s">
        <v>97</v>
      </c>
    </row>
    <row r="5" spans="2:2" x14ac:dyDescent="0.25">
      <c r="B5" s="37" t="s">
        <v>96</v>
      </c>
    </row>
    <row r="6" spans="2:2" ht="209" x14ac:dyDescent="0.25">
      <c r="B6" s="36" t="s">
        <v>95</v>
      </c>
    </row>
    <row r="9" spans="2:2" x14ac:dyDescent="0.25">
      <c r="B9" s="37" t="s">
        <v>94</v>
      </c>
    </row>
    <row r="10" spans="2:2" x14ac:dyDescent="0.25">
      <c r="B10" s="40"/>
    </row>
    <row r="11" spans="2:2" x14ac:dyDescent="0.25">
      <c r="B11" s="39" t="s">
        <v>93</v>
      </c>
    </row>
    <row r="12" spans="2:2" ht="190" x14ac:dyDescent="0.25">
      <c r="B12" s="38" t="s">
        <v>92</v>
      </c>
    </row>
    <row r="15" spans="2:2" x14ac:dyDescent="0.25">
      <c r="B15" s="39" t="s">
        <v>91</v>
      </c>
    </row>
    <row r="16" spans="2:2" ht="209" x14ac:dyDescent="0.25">
      <c r="B16" s="36" t="s">
        <v>90</v>
      </c>
    </row>
    <row r="19" spans="2:2" x14ac:dyDescent="0.25">
      <c r="B19" s="39" t="s">
        <v>89</v>
      </c>
    </row>
    <row r="20" spans="2:2" ht="190" x14ac:dyDescent="0.25">
      <c r="B20" s="38" t="s">
        <v>88</v>
      </c>
    </row>
    <row r="23" spans="2:2" x14ac:dyDescent="0.25">
      <c r="B23" s="37" t="s">
        <v>87</v>
      </c>
    </row>
    <row r="24" spans="2:2" ht="190" x14ac:dyDescent="0.25">
      <c r="B24" s="36" t="s">
        <v>86</v>
      </c>
    </row>
    <row r="27" spans="2:2" x14ac:dyDescent="0.25">
      <c r="B27" s="37" t="s">
        <v>85</v>
      </c>
    </row>
    <row r="28" spans="2:2" ht="342" x14ac:dyDescent="0.25">
      <c r="B28" s="38"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Risk Register - Princess</vt:lpstr>
      <vt:lpstr>Risk Calculation - Dike</vt:lpstr>
      <vt:lpstr>Problem Statement - Amaka</vt:lpstr>
      <vt:lpstr>Risk Selection Rationale- Stela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Princess Diaz</dc:creator>
  <cp:lastModifiedBy>Princess Diaz</cp:lastModifiedBy>
  <dcterms:created xsi:type="dcterms:W3CDTF">2026-05-31T22:38:10Z</dcterms:created>
  <dcterms:modified xsi:type="dcterms:W3CDTF">2026-06-04T01:40:39Z</dcterms:modified>
</cp:coreProperties>
</file>